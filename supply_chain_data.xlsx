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f0231cbfa56f60d3/Documents/"/>
    </mc:Choice>
  </mc:AlternateContent>
  <xr:revisionPtr revIDLastSave="380" documentId="8_{CDAA323E-0E5D-454D-93F2-4B0D9E5F68BF}" xr6:coauthVersionLast="47" xr6:coauthVersionMax="47" xr10:uidLastSave="{DB43D1E6-6A42-45AE-A164-50E1A45A50A8}"/>
  <bookViews>
    <workbookView xWindow="14295" yWindow="0" windowWidth="14610" windowHeight="15585" activeTab="2" xr2:uid="{EE7A96A6-7CB3-41EF-881F-AC3227C1F594}"/>
  </bookViews>
  <sheets>
    <sheet name="SupplyData" sheetId="1" r:id="rId1"/>
    <sheet name="PivotTables" sheetId="6" r:id="rId2"/>
    <sheet name="Dashboard" sheetId="7" r:id="rId3"/>
  </sheets>
  <definedNames>
    <definedName name="Slicer_Product_type">#N/A</definedName>
    <definedName name="Slicer_Product_type1">#N/A</definedName>
    <definedName name="Slicer_Supplier_name">#N/A</definedName>
    <definedName name="Slicer_Supplier_name1">#N/A</definedName>
    <definedName name="Slicer_Transportation_modes">#N/A</definedName>
    <definedName name="Slicer_Transportation_mode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7" l="1"/>
  <c r="D4" i="7"/>
  <c r="C4" i="7"/>
  <c r="B4" i="7"/>
  <c r="A4" i="7"/>
  <c r="AD3" i="1"/>
  <c r="AE3" i="1" s="1"/>
  <c r="AD4" i="1"/>
  <c r="AE4" i="1" s="1"/>
  <c r="AD5" i="1"/>
  <c r="AE5" i="1" s="1"/>
  <c r="AD6" i="1"/>
  <c r="AE6" i="1" s="1"/>
  <c r="AD7" i="1"/>
  <c r="AE7" i="1" s="1"/>
  <c r="AD8" i="1"/>
  <c r="AE8" i="1" s="1"/>
  <c r="AD9" i="1"/>
  <c r="AE9" i="1" s="1"/>
  <c r="AD10" i="1"/>
  <c r="AE10" i="1" s="1"/>
  <c r="AD11" i="1"/>
  <c r="AE11" i="1" s="1"/>
  <c r="AD12" i="1"/>
  <c r="AE12" i="1" s="1"/>
  <c r="AD13" i="1"/>
  <c r="AE13" i="1" s="1"/>
  <c r="AD14" i="1"/>
  <c r="AE14" i="1" s="1"/>
  <c r="AD15" i="1"/>
  <c r="AE15" i="1" s="1"/>
  <c r="AD16" i="1"/>
  <c r="AE16" i="1" s="1"/>
  <c r="AD17" i="1"/>
  <c r="AE17" i="1" s="1"/>
  <c r="AD18" i="1"/>
  <c r="AE18" i="1" s="1"/>
  <c r="AD19" i="1"/>
  <c r="AE19" i="1" s="1"/>
  <c r="AD20" i="1"/>
  <c r="AE20" i="1" s="1"/>
  <c r="AD21" i="1"/>
  <c r="AE21" i="1" s="1"/>
  <c r="AD22" i="1"/>
  <c r="AE22" i="1" s="1"/>
  <c r="AD23" i="1"/>
  <c r="AE23" i="1" s="1"/>
  <c r="AD24" i="1"/>
  <c r="AE24" i="1" s="1"/>
  <c r="AD25" i="1"/>
  <c r="AE25" i="1" s="1"/>
  <c r="AD26" i="1"/>
  <c r="AE26" i="1" s="1"/>
  <c r="AD27" i="1"/>
  <c r="AE27" i="1" s="1"/>
  <c r="AD28" i="1"/>
  <c r="AE28" i="1" s="1"/>
  <c r="AD29" i="1"/>
  <c r="AE29" i="1" s="1"/>
  <c r="AD30" i="1"/>
  <c r="AE30" i="1" s="1"/>
  <c r="AD31" i="1"/>
  <c r="AE31" i="1" s="1"/>
  <c r="AD32" i="1"/>
  <c r="AE32" i="1" s="1"/>
  <c r="AD33" i="1"/>
  <c r="AE33" i="1" s="1"/>
  <c r="AD34" i="1"/>
  <c r="AE34" i="1" s="1"/>
  <c r="AD35" i="1"/>
  <c r="AE35" i="1" s="1"/>
  <c r="AD36" i="1"/>
  <c r="AE36" i="1" s="1"/>
  <c r="AD37" i="1"/>
  <c r="AE37" i="1" s="1"/>
  <c r="AD38" i="1"/>
  <c r="AE38" i="1" s="1"/>
  <c r="AD39" i="1"/>
  <c r="AE39" i="1" s="1"/>
  <c r="AD40" i="1"/>
  <c r="AE40" i="1" s="1"/>
  <c r="AD41" i="1"/>
  <c r="AE41" i="1" s="1"/>
  <c r="AD42" i="1"/>
  <c r="AE42" i="1" s="1"/>
  <c r="AD43" i="1"/>
  <c r="AE43" i="1" s="1"/>
  <c r="AD44" i="1"/>
  <c r="AE44" i="1" s="1"/>
  <c r="AD45" i="1"/>
  <c r="AE45" i="1" s="1"/>
  <c r="AD46" i="1"/>
  <c r="AE46" i="1" s="1"/>
  <c r="AD47" i="1"/>
  <c r="AE47" i="1" s="1"/>
  <c r="AD48" i="1"/>
  <c r="AE48" i="1" s="1"/>
  <c r="AD49" i="1"/>
  <c r="AE49" i="1" s="1"/>
  <c r="AD50" i="1"/>
  <c r="AE50" i="1" s="1"/>
  <c r="AD51" i="1"/>
  <c r="AE51" i="1" s="1"/>
  <c r="AD52" i="1"/>
  <c r="AE52" i="1" s="1"/>
  <c r="AD53" i="1"/>
  <c r="AE53" i="1" s="1"/>
  <c r="AD54" i="1"/>
  <c r="AE54" i="1" s="1"/>
  <c r="AD55" i="1"/>
  <c r="AE55" i="1" s="1"/>
  <c r="AD56" i="1"/>
  <c r="AE56" i="1" s="1"/>
  <c r="AD57" i="1"/>
  <c r="AE57" i="1" s="1"/>
  <c r="AD58" i="1"/>
  <c r="AE58" i="1" s="1"/>
  <c r="AD59" i="1"/>
  <c r="AE59" i="1" s="1"/>
  <c r="AD60" i="1"/>
  <c r="AE60" i="1" s="1"/>
  <c r="AD61" i="1"/>
  <c r="AE61" i="1" s="1"/>
  <c r="AD62" i="1"/>
  <c r="AE62" i="1" s="1"/>
  <c r="AD63" i="1"/>
  <c r="AE63" i="1" s="1"/>
  <c r="AD64" i="1"/>
  <c r="AE64" i="1" s="1"/>
  <c r="AD65" i="1"/>
  <c r="AE65" i="1" s="1"/>
  <c r="AD66" i="1"/>
  <c r="AE66" i="1" s="1"/>
  <c r="AD67" i="1"/>
  <c r="AE67" i="1" s="1"/>
  <c r="AD68" i="1"/>
  <c r="AE68" i="1" s="1"/>
  <c r="AD69" i="1"/>
  <c r="AE69" i="1" s="1"/>
  <c r="AD70" i="1"/>
  <c r="AE70" i="1" s="1"/>
  <c r="AD71" i="1"/>
  <c r="AE71" i="1" s="1"/>
  <c r="AD72" i="1"/>
  <c r="AE72" i="1" s="1"/>
  <c r="AD73" i="1"/>
  <c r="AE73" i="1" s="1"/>
  <c r="AD74" i="1"/>
  <c r="AE74" i="1" s="1"/>
  <c r="AD75" i="1"/>
  <c r="AE75" i="1" s="1"/>
  <c r="AD76" i="1"/>
  <c r="AE76" i="1" s="1"/>
  <c r="AD77" i="1"/>
  <c r="AE77" i="1" s="1"/>
  <c r="AD78" i="1"/>
  <c r="AE78" i="1" s="1"/>
  <c r="AD79" i="1"/>
  <c r="AE79" i="1" s="1"/>
  <c r="AD80" i="1"/>
  <c r="AE80" i="1" s="1"/>
  <c r="AD81" i="1"/>
  <c r="AE81" i="1" s="1"/>
  <c r="AD82" i="1"/>
  <c r="AE82" i="1" s="1"/>
  <c r="AD83" i="1"/>
  <c r="AE83" i="1" s="1"/>
  <c r="AD84" i="1"/>
  <c r="AE84" i="1" s="1"/>
  <c r="AD85" i="1"/>
  <c r="AE85" i="1" s="1"/>
  <c r="AD86" i="1"/>
  <c r="AE86" i="1" s="1"/>
  <c r="AD87" i="1"/>
  <c r="AE87" i="1" s="1"/>
  <c r="AD88" i="1"/>
  <c r="AE88" i="1" s="1"/>
  <c r="AD89" i="1"/>
  <c r="AE89" i="1" s="1"/>
  <c r="AD90" i="1"/>
  <c r="AE90" i="1" s="1"/>
  <c r="AD91" i="1"/>
  <c r="AE91" i="1" s="1"/>
  <c r="AD92" i="1"/>
  <c r="AE92" i="1" s="1"/>
  <c r="AD93" i="1"/>
  <c r="AE93" i="1" s="1"/>
  <c r="AD94" i="1"/>
  <c r="AE94" i="1" s="1"/>
  <c r="AD95" i="1"/>
  <c r="AE95" i="1" s="1"/>
  <c r="AD96" i="1"/>
  <c r="AE96" i="1" s="1"/>
  <c r="AD97" i="1"/>
  <c r="AE97" i="1" s="1"/>
  <c r="AD98" i="1"/>
  <c r="AE98" i="1" s="1"/>
  <c r="AD99" i="1"/>
  <c r="AE99" i="1" s="1"/>
  <c r="AD100" i="1"/>
  <c r="AE100" i="1" s="1"/>
  <c r="AD101" i="1"/>
  <c r="AE101" i="1" s="1"/>
  <c r="AD2" i="1"/>
  <c r="AE2"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F4" i="7" l="1"/>
</calcChain>
</file>

<file path=xl/sharedStrings.xml><?xml version="1.0" encoding="utf-8"?>
<sst xmlns="http://schemas.openxmlformats.org/spreadsheetml/2006/main" count="1011" uniqueCount="188">
  <si>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</si>
  <si>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</si>
  <si>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</si>
  <si>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</si>
  <si>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</si>
  <si>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</si>
  <si>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</si>
  <si>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</si>
  <si>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</si>
  <si>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</si>
  <si>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</si>
  <si>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</si>
  <si>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</si>
  <si>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</si>
  <si>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</si>
  <si>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</si>
  <si>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</si>
  <si>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</si>
  <si>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</si>
  <si>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</si>
  <si>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</si>
  <si>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</si>
  <si>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</si>
  <si>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</si>
  <si>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</si>
  <si>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</si>
  <si>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</si>
  <si>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</si>
  <si>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</si>
  <si>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</si>
  <si>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</si>
  <si>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</si>
  <si>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</si>
  <si>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</si>
  <si>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</si>
  <si>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</si>
  <si>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</si>
  <si>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</si>
  <si>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</si>
  <si>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</si>
  <si>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</si>
  <si>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</si>
  <si>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</si>
  <si>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</si>
  <si>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</si>
  <si>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</si>
  <si>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</si>
  <si>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</si>
  <si>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</si>
  <si>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</si>
  <si>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</si>
  <si>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</si>
  <si>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</si>
  <si>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</si>
  <si>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</si>
  <si>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</si>
  <si>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</si>
  <si>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</si>
  <si>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</si>
  <si>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</si>
  <si>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</si>
  <si>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</si>
  <si>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</si>
  <si>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</si>
  <si>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</si>
  <si>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</si>
  <si>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</si>
  <si>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</si>
  <si>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</si>
  <si>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</si>
  <si>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</si>
  <si>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</si>
  <si>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</si>
  <si>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</si>
  <si>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</si>
  <si>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</si>
  <si>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</si>
  <si>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</si>
  <si>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</si>
  <si>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</si>
  <si>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</si>
  <si>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</si>
  <si>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</si>
  <si>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</si>
  <si>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</si>
  <si>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</si>
  <si>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</si>
  <si>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</si>
  <si>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</si>
  <si>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</si>
  <si>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</si>
  <si>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</si>
  <si>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</si>
  <si>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</si>
  <si>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</si>
  <si>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</si>
  <si>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</si>
  <si>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</si>
  <si>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</si>
  <si>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</si>
  <si>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</si>
  <si>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</si>
  <si>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</si>
  <si>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</si>
  <si>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</si>
  <si>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</si>
  <si>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</si>
  <si>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</si>
  <si>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</si>
  <si>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</si>
  <si>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</si>
  <si>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</si>
  <si>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</si>
  <si>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</si>
  <si>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</si>
  <si>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</si>
  <si>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</si>
  <si>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</si>
  <si>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</si>
  <si>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</si>
  <si>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</si>
  <si>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</si>
  <si>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</si>
  <si>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</si>
  <si>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</si>
  <si>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</si>
  <si>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</si>
  <si>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</si>
  <si>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</si>
  <si>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</si>
  <si>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</si>
  <si>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</si>
  <si>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</si>
  <si>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</si>
  <si>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</si>
  <si>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</si>
  <si>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</si>
  <si>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</si>
  <si>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</si>
  <si>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</si>
  <si>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</si>
  <si>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</si>
  <si>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</si>
  <si>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</si>
  <si>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</si>
  <si>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</si>
  <si>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</si>
  <si>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</si>
  <si>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</si>
  <si>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</si>
  <si>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</si>
  <si>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</si>
  <si>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</si>
  <si>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Total Revenue</t>
  </si>
  <si>
    <t>Average Lead Time</t>
  </si>
  <si>
    <t>Average Shipping Cost</t>
  </si>
  <si>
    <t>Average Defect Rate</t>
  </si>
  <si>
    <t>inventory risk</t>
  </si>
  <si>
    <t>shipping cost %</t>
  </si>
  <si>
    <t>Revenue per Unit Sold</t>
  </si>
  <si>
    <t>cost per unit</t>
  </si>
  <si>
    <t>profit margin</t>
  </si>
  <si>
    <t>profit margin %</t>
  </si>
  <si>
    <t>Row Labels</t>
  </si>
  <si>
    <t>Grand Total</t>
  </si>
  <si>
    <t>Sum of Revenue generated</t>
  </si>
  <si>
    <t>Sum of Number of products sold</t>
  </si>
  <si>
    <t>Average of Defect rates</t>
  </si>
  <si>
    <t>Average of Lead times</t>
  </si>
  <si>
    <t>Average of Shipping costs</t>
  </si>
  <si>
    <t>Average of Lead time</t>
  </si>
  <si>
    <t>High</t>
  </si>
  <si>
    <t>Low</t>
  </si>
  <si>
    <t>Medium</t>
  </si>
  <si>
    <t>Count of SKU</t>
  </si>
  <si>
    <t>Pivot Tables</t>
  </si>
  <si>
    <t>Products Sold</t>
  </si>
  <si>
    <t>Average Profit Margin</t>
  </si>
  <si>
    <t>Supplier performance varied significantly, with some suppliers showing higher defect rates than others.</t>
  </si>
  <si>
    <t>Higher-margin products may be good candidates for additional inventory investment.</t>
  </si>
  <si>
    <t>Supply Chain Performance Dashboard</t>
  </si>
  <si>
    <t>Road transportation offers the lowest average shipping cost, while Air provides the shortest lead time. Road transportation should remain to be prioritized other than scenarios where air is the only possible option.</t>
  </si>
  <si>
    <t>High-risk SKUs should be prioritized for replenishment due to low stock levels and longer lead times.</t>
  </si>
  <si>
    <t>Supplier 3 has the second highest average defect rate and should be reviewed for quality improvements, despite them having the lowest lead time.</t>
  </si>
  <si>
    <t>Products with low stock levels and long lead times were identified as the highest inventory risk. Long lead times should be a priority to decrease.</t>
  </si>
  <si>
    <t>Average of Revenue generated</t>
  </si>
  <si>
    <t>Transportation mode affected shipping costs and delivery times. Sea may be very underutilized depending on the source and destination.</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</si>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</sst>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6"/>
      <color theme="1"/>
      <name val="Aptos Narrow"/>
      <family val="2"/>
      <scheme val="minor"/>
    </font>
    <font>
      <sz val="14"/>
      <color theme="1"/>
      <name val="Aptos Narrow"/>
      <family val="2"/>
      <scheme val="minor"/>
    </font>
    <font>
      <sz val="15"/>
      <color theme="1"/>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10" fontId="0" fillId="0" borderId="0" xfId="2" applyNumberFormat="1" applyFont="1"/>
    <xf numFmtId="44" fontId="0" fillId="0" borderId="0" xfId="1" applyFon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1" fillId="0" borderId="0" xfId="0" applyFont="1"/>
    <xf numFmtId="0" fontId="22" fillId="0" borderId="0" xfId="0" applyFont="1" applyAlignment="1">
      <alignment horizontal="center"/>
    </xf>
    <xf numFmtId="0" fontId="0" fillId="0" borderId="0" xfId="0" applyAlignment="1">
      <alignment horizontal="center"/>
    </xf>
    <xf numFmtId="0" fontId="18" fillId="0" borderId="0" xfId="0" applyFont="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Sum of Revenue generated</c:v>
                </c:pt>
              </c:strCache>
            </c:strRef>
          </c:tx>
          <c:spPr>
            <a:solidFill>
              <a:schemeClr val="accent1"/>
            </a:solidFill>
            <a:ln>
              <a:noFill/>
            </a:ln>
            <a:effectLst/>
          </c:spPr>
          <c:invertIfNegative val="0"/>
          <c:cat>
            <c:strRef>
              <c:f>PivotTables!$A$4:$A$7</c:f>
              <c:strCache>
                <c:ptCount val="3"/>
                <c:pt idx="0">
                  <c:v>skincare</c:v>
                </c:pt>
                <c:pt idx="1">
                  <c:v>haircare</c:v>
                </c:pt>
                <c:pt idx="2">
                  <c:v>cosmetics</c:v>
                </c:pt>
              </c:strCache>
            </c:strRef>
          </c:cat>
          <c:val>
            <c:numRef>
              <c:f>PivotTables!$B$4:$B$7</c:f>
              <c:numCache>
                <c:formatCode>General</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CCEA-4B56-803C-0ADA6891EE75}"/>
            </c:ext>
          </c:extLst>
        </c:ser>
        <c:ser>
          <c:idx val="1"/>
          <c:order val="1"/>
          <c:tx>
            <c:strRef>
              <c:f>PivotTables!$C$3</c:f>
              <c:strCache>
                <c:ptCount val="1"/>
                <c:pt idx="0">
                  <c:v>Sum of Number of products sold</c:v>
                </c:pt>
              </c:strCache>
            </c:strRef>
          </c:tx>
          <c:spPr>
            <a:solidFill>
              <a:schemeClr val="accent2"/>
            </a:solidFill>
            <a:ln>
              <a:noFill/>
            </a:ln>
            <a:effectLst/>
          </c:spPr>
          <c:invertIfNegative val="0"/>
          <c:cat>
            <c:strRef>
              <c:f>PivotTables!$A$4:$A$7</c:f>
              <c:strCache>
                <c:ptCount val="3"/>
                <c:pt idx="0">
                  <c:v>skincare</c:v>
                </c:pt>
                <c:pt idx="1">
                  <c:v>haircare</c:v>
                </c:pt>
                <c:pt idx="2">
                  <c:v>cosmetics</c:v>
                </c:pt>
              </c:strCache>
            </c:strRef>
          </c:cat>
          <c:val>
            <c:numRef>
              <c:f>PivotTables!$C$4:$C$7</c:f>
              <c:numCache>
                <c:formatCode>General</c:formatCode>
                <c:ptCount val="3"/>
                <c:pt idx="0">
                  <c:v>20731</c:v>
                </c:pt>
                <c:pt idx="1">
                  <c:v>13611</c:v>
                </c:pt>
                <c:pt idx="2">
                  <c:v>11757</c:v>
                </c:pt>
              </c:numCache>
            </c:numRef>
          </c:val>
          <c:extLst>
            <c:ext xmlns:c16="http://schemas.microsoft.com/office/drawing/2014/chart" uri="{C3380CC4-5D6E-409C-BE32-E72D297353CC}">
              <c16:uniqueId val="{00000002-CCEA-4B56-803C-0ADA6891EE75}"/>
            </c:ext>
          </c:extLst>
        </c:ser>
        <c:dLbls>
          <c:showLegendKey val="0"/>
          <c:showVal val="0"/>
          <c:showCatName val="0"/>
          <c:showSerName val="0"/>
          <c:showPercent val="0"/>
          <c:showBubbleSize val="0"/>
        </c:dLbls>
        <c:gapWidth val="219"/>
        <c:axId val="1861411503"/>
        <c:axId val="1234653599"/>
      </c:barChart>
      <c:catAx>
        <c:axId val="18614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653599"/>
        <c:crosses val="autoZero"/>
        <c:auto val="1"/>
        <c:lblAlgn val="ctr"/>
        <c:lblOffset val="100"/>
        <c:noMultiLvlLbl val="0"/>
      </c:catAx>
      <c:valAx>
        <c:axId val="123465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14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Defect Rate per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1"/>
            </a:solidFill>
            <a:ln>
              <a:noFill/>
            </a:ln>
            <a:effectLst/>
          </c:spPr>
          <c:invertIfNegative val="0"/>
          <c:cat>
            <c:strRef>
              <c:f>PivotTables!$A$27:$A$32</c:f>
              <c:strCache>
                <c:ptCount val="5"/>
                <c:pt idx="0">
                  <c:v>Supplier 5</c:v>
                </c:pt>
                <c:pt idx="1">
                  <c:v>Supplier 3</c:v>
                </c:pt>
                <c:pt idx="2">
                  <c:v>Supplier 2</c:v>
                </c:pt>
                <c:pt idx="3">
                  <c:v>Supplier 4</c:v>
                </c:pt>
                <c:pt idx="4">
                  <c:v>Supplier 1</c:v>
                </c:pt>
              </c:strCache>
            </c:strRef>
          </c:cat>
          <c:val>
            <c:numRef>
              <c:f>PivotTables!$B$27:$B$32</c:f>
              <c:numCache>
                <c:formatCode>General</c:formatCode>
                <c:ptCount val="5"/>
                <c:pt idx="0">
                  <c:v>2.6654083441491982</c:v>
                </c:pt>
                <c:pt idx="1">
                  <c:v>2.4657860307644657</c:v>
                </c:pt>
                <c:pt idx="2">
                  <c:v>2.3627501450718764</c:v>
                </c:pt>
                <c:pt idx="3">
                  <c:v>2.3373974005913354</c:v>
                </c:pt>
                <c:pt idx="4">
                  <c:v>1.8036297116882485</c:v>
                </c:pt>
              </c:numCache>
            </c:numRef>
          </c:val>
          <c:extLst>
            <c:ext xmlns:c16="http://schemas.microsoft.com/office/drawing/2014/chart" uri="{C3380CC4-5D6E-409C-BE32-E72D297353CC}">
              <c16:uniqueId val="{00000000-F925-412C-8BE9-0BDF72987D0C}"/>
            </c:ext>
          </c:extLst>
        </c:ser>
        <c:dLbls>
          <c:showLegendKey val="0"/>
          <c:showVal val="0"/>
          <c:showCatName val="0"/>
          <c:showSerName val="0"/>
          <c:showPercent val="0"/>
          <c:showBubbleSize val="0"/>
        </c:dLbls>
        <c:gapWidth val="219"/>
        <c:axId val="2008311407"/>
        <c:axId val="2027597487"/>
      </c:barChart>
      <c:catAx>
        <c:axId val="20083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97487"/>
        <c:crosses val="autoZero"/>
        <c:auto val="1"/>
        <c:lblAlgn val="ctr"/>
        <c:lblOffset val="100"/>
        <c:noMultiLvlLbl val="0"/>
      </c:catAx>
      <c:valAx>
        <c:axId val="202759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 Time per Supplier</a:t>
            </a:r>
          </a:p>
        </c:rich>
      </c:tx>
      <c:layout>
        <c:manualLayout>
          <c:xMode val="edge"/>
          <c:yMode val="edge"/>
          <c:x val="0.43477817288967913"/>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PivotTables!$G$25</c:f>
              <c:strCache>
                <c:ptCount val="1"/>
                <c:pt idx="0">
                  <c:v>Total</c:v>
                </c:pt>
              </c:strCache>
            </c:strRef>
          </c:tx>
          <c:spPr>
            <a:solidFill>
              <a:schemeClr val="accent1"/>
            </a:solidFill>
            <a:ln>
              <a:noFill/>
            </a:ln>
            <a:effectLst/>
          </c:spPr>
          <c:invertIfNegative val="0"/>
          <c:cat>
            <c:strRef>
              <c:f>PivotTables!$F$26:$F$31</c:f>
              <c:strCache>
                <c:ptCount val="5"/>
                <c:pt idx="0">
                  <c:v>Supplier 4</c:v>
                </c:pt>
                <c:pt idx="1">
                  <c:v>Supplier 1</c:v>
                </c:pt>
                <c:pt idx="2">
                  <c:v>Supplier 2</c:v>
                </c:pt>
                <c:pt idx="3">
                  <c:v>Supplier 5</c:v>
                </c:pt>
                <c:pt idx="4">
                  <c:v>Supplier 3</c:v>
                </c:pt>
              </c:strCache>
            </c:strRef>
          </c:cat>
          <c:val>
            <c:numRef>
              <c:f>PivotTables!$G$26:$G$31</c:f>
              <c:numCache>
                <c:formatCode>General</c:formatCode>
                <c:ptCount val="5"/>
                <c:pt idx="0">
                  <c:v>17</c:v>
                </c:pt>
                <c:pt idx="1">
                  <c:v>16.777777777777779</c:v>
                </c:pt>
                <c:pt idx="2">
                  <c:v>16.227272727272727</c:v>
                </c:pt>
                <c:pt idx="3">
                  <c:v>14.722222222222221</c:v>
                </c:pt>
                <c:pt idx="4">
                  <c:v>14.333333333333334</c:v>
                </c:pt>
              </c:numCache>
            </c:numRef>
          </c:val>
          <c:extLst>
            <c:ext xmlns:c16="http://schemas.microsoft.com/office/drawing/2014/chart" uri="{C3380CC4-5D6E-409C-BE32-E72D297353CC}">
              <c16:uniqueId val="{00000000-B8CE-4B24-9231-4B97FB6A0739}"/>
            </c:ext>
          </c:extLst>
        </c:ser>
        <c:dLbls>
          <c:showLegendKey val="0"/>
          <c:showVal val="0"/>
          <c:showCatName val="0"/>
          <c:showSerName val="0"/>
          <c:showPercent val="0"/>
          <c:showBubbleSize val="0"/>
        </c:dLbls>
        <c:gapWidth val="219"/>
        <c:overlap val="-27"/>
        <c:axId val="213777103"/>
        <c:axId val="213775663"/>
      </c:barChart>
      <c:catAx>
        <c:axId val="21377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5663"/>
        <c:crosses val="autoZero"/>
        <c:auto val="1"/>
        <c:lblAlgn val="ctr"/>
        <c:lblOffset val="100"/>
        <c:noMultiLvlLbl val="0"/>
      </c:catAx>
      <c:valAx>
        <c:axId val="21377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PivotTables!$M$25</c:f>
              <c:strCache>
                <c:ptCount val="1"/>
                <c:pt idx="0">
                  <c:v>Total</c:v>
                </c:pt>
              </c:strCache>
            </c:strRef>
          </c:tx>
          <c:spPr>
            <a:solidFill>
              <a:schemeClr val="accent1"/>
            </a:solidFill>
            <a:ln>
              <a:noFill/>
            </a:ln>
            <a:effectLst/>
          </c:spPr>
          <c:invertIfNegative val="0"/>
          <c:cat>
            <c:strRef>
              <c:f>PivotTables!$L$26:$L$31</c:f>
              <c:strCache>
                <c:ptCount val="5"/>
                <c:pt idx="0">
                  <c:v>Supplier 1</c:v>
                </c:pt>
                <c:pt idx="1">
                  <c:v>Supplier 2</c:v>
                </c:pt>
                <c:pt idx="2">
                  <c:v>Supplier 5</c:v>
                </c:pt>
                <c:pt idx="3">
                  <c:v>Supplier 3</c:v>
                </c:pt>
                <c:pt idx="4">
                  <c:v>Supplier 4</c:v>
                </c:pt>
              </c:strCache>
            </c:strRef>
          </c:cat>
          <c:val>
            <c:numRef>
              <c:f>PivotTables!$M$26:$M$31</c:f>
              <c:numCache>
                <c:formatCode>General</c:formatCode>
                <c:ptCount val="5"/>
                <c:pt idx="0">
                  <c:v>157528.99503945635</c:v>
                </c:pt>
                <c:pt idx="1">
                  <c:v>125467.41860530026</c:v>
                </c:pt>
                <c:pt idx="2">
                  <c:v>110343.46365628684</c:v>
                </c:pt>
                <c:pt idx="3">
                  <c:v>97795.979638162171</c:v>
                </c:pt>
                <c:pt idx="4">
                  <c:v>86468.961798802658</c:v>
                </c:pt>
              </c:numCache>
            </c:numRef>
          </c:val>
          <c:extLst>
            <c:ext xmlns:c16="http://schemas.microsoft.com/office/drawing/2014/chart" uri="{C3380CC4-5D6E-409C-BE32-E72D297353CC}">
              <c16:uniqueId val="{00000000-FBD2-49E8-AB3A-CB55EF7CEE89}"/>
            </c:ext>
          </c:extLst>
        </c:ser>
        <c:dLbls>
          <c:showLegendKey val="0"/>
          <c:showVal val="0"/>
          <c:showCatName val="0"/>
          <c:showSerName val="0"/>
          <c:showPercent val="0"/>
          <c:showBubbleSize val="0"/>
        </c:dLbls>
        <c:gapWidth val="219"/>
        <c:overlap val="-27"/>
        <c:axId val="204900015"/>
        <c:axId val="204900975"/>
      </c:barChart>
      <c:catAx>
        <c:axId val="20490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975"/>
        <c:crosses val="autoZero"/>
        <c:auto val="1"/>
        <c:lblAlgn val="ctr"/>
        <c:lblOffset val="100"/>
        <c:noMultiLvlLbl val="0"/>
      </c:catAx>
      <c:valAx>
        <c:axId val="20490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Average of Shipping costs</c:v>
                </c:pt>
              </c:strCache>
            </c:strRef>
          </c:tx>
          <c:spPr>
            <a:solidFill>
              <a:schemeClr val="accent1"/>
            </a:solidFill>
            <a:ln>
              <a:noFill/>
            </a:ln>
            <a:effectLst/>
          </c:spPr>
          <c:invertIfNegative val="0"/>
          <c:cat>
            <c:strRef>
              <c:f>PivotTables!$A$51:$A$55</c:f>
              <c:strCache>
                <c:ptCount val="4"/>
                <c:pt idx="0">
                  <c:v>Road</c:v>
                </c:pt>
                <c:pt idx="1">
                  <c:v>Rail</c:v>
                </c:pt>
                <c:pt idx="2">
                  <c:v>Sea</c:v>
                </c:pt>
                <c:pt idx="3">
                  <c:v>Air</c:v>
                </c:pt>
              </c:strCache>
            </c:strRef>
          </c:cat>
          <c:val>
            <c:numRef>
              <c:f>PivotTables!$B$51:$B$55</c:f>
              <c:numCache>
                <c:formatCode>General</c:formatCode>
                <c:ptCount val="4"/>
                <c:pt idx="0">
                  <c:v>5.542115390045792</c:v>
                </c:pt>
                <c:pt idx="1">
                  <c:v>5.4690979361028562</c:v>
                </c:pt>
                <c:pt idx="2">
                  <c:v>4.9702938152238989</c:v>
                </c:pt>
                <c:pt idx="3">
                  <c:v>6.0178393777286159</c:v>
                </c:pt>
              </c:numCache>
            </c:numRef>
          </c:val>
          <c:extLst>
            <c:ext xmlns:c16="http://schemas.microsoft.com/office/drawing/2014/chart" uri="{C3380CC4-5D6E-409C-BE32-E72D297353CC}">
              <c16:uniqueId val="{00000000-59D8-449B-9716-FEE73431A78D}"/>
            </c:ext>
          </c:extLst>
        </c:ser>
        <c:ser>
          <c:idx val="1"/>
          <c:order val="1"/>
          <c:tx>
            <c:strRef>
              <c:f>PivotTables!$C$50</c:f>
              <c:strCache>
                <c:ptCount val="1"/>
                <c:pt idx="0">
                  <c:v>Average of Lead time</c:v>
                </c:pt>
              </c:strCache>
            </c:strRef>
          </c:tx>
          <c:spPr>
            <a:solidFill>
              <a:schemeClr val="accent2"/>
            </a:solidFill>
            <a:ln>
              <a:noFill/>
            </a:ln>
            <a:effectLst/>
          </c:spPr>
          <c:invertIfNegative val="0"/>
          <c:cat>
            <c:strRef>
              <c:f>PivotTables!$A$51:$A$55</c:f>
              <c:strCache>
                <c:ptCount val="4"/>
                <c:pt idx="0">
                  <c:v>Road</c:v>
                </c:pt>
                <c:pt idx="1">
                  <c:v>Rail</c:v>
                </c:pt>
                <c:pt idx="2">
                  <c:v>Sea</c:v>
                </c:pt>
                <c:pt idx="3">
                  <c:v>Air</c:v>
                </c:pt>
              </c:strCache>
            </c:strRef>
          </c:cat>
          <c:val>
            <c:numRef>
              <c:f>PivotTables!$C$51:$C$55</c:f>
              <c:numCache>
                <c:formatCode>General</c:formatCode>
                <c:ptCount val="4"/>
                <c:pt idx="0">
                  <c:v>18.03448275862069</c:v>
                </c:pt>
                <c:pt idx="1">
                  <c:v>17.535714285714285</c:v>
                </c:pt>
                <c:pt idx="2">
                  <c:v>16.411764705882351</c:v>
                </c:pt>
                <c:pt idx="3">
                  <c:v>15.961538461538462</c:v>
                </c:pt>
              </c:numCache>
            </c:numRef>
          </c:val>
          <c:extLst>
            <c:ext xmlns:c16="http://schemas.microsoft.com/office/drawing/2014/chart" uri="{C3380CC4-5D6E-409C-BE32-E72D297353CC}">
              <c16:uniqueId val="{00000002-59D8-449B-9716-FEE73431A78D}"/>
            </c:ext>
          </c:extLst>
        </c:ser>
        <c:dLbls>
          <c:showLegendKey val="0"/>
          <c:showVal val="0"/>
          <c:showCatName val="0"/>
          <c:showSerName val="0"/>
          <c:showPercent val="0"/>
          <c:showBubbleSize val="0"/>
        </c:dLbls>
        <c:gapWidth val="219"/>
        <c:overlap val="-27"/>
        <c:axId val="214661103"/>
        <c:axId val="214662063"/>
      </c:barChart>
      <c:catAx>
        <c:axId val="2146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2063"/>
        <c:crosses val="autoZero"/>
        <c:auto val="1"/>
        <c:lblAlgn val="ctr"/>
        <c:lblOffset val="100"/>
        <c:noMultiLvlLbl val="0"/>
      </c:catAx>
      <c:valAx>
        <c:axId val="21466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Revenue</a:t>
            </a:r>
            <a:r>
              <a:rPr lang="en-US" baseline="0"/>
              <a:t> per Transportation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PivotTables!$F$50</c:f>
              <c:strCache>
                <c:ptCount val="1"/>
                <c:pt idx="0">
                  <c:v>Total</c:v>
                </c:pt>
              </c:strCache>
            </c:strRef>
          </c:tx>
          <c:spPr>
            <a:solidFill>
              <a:schemeClr val="accent1"/>
            </a:solidFill>
            <a:ln>
              <a:noFill/>
            </a:ln>
            <a:effectLst/>
          </c:spPr>
          <c:invertIfNegative val="0"/>
          <c:cat>
            <c:strRef>
              <c:f>PivotTables!$E$51:$E$55</c:f>
              <c:strCache>
                <c:ptCount val="4"/>
                <c:pt idx="0">
                  <c:v>Rail</c:v>
                </c:pt>
                <c:pt idx="1">
                  <c:v>Road</c:v>
                </c:pt>
                <c:pt idx="2">
                  <c:v>Air</c:v>
                </c:pt>
                <c:pt idx="3">
                  <c:v>Sea</c:v>
                </c:pt>
              </c:strCache>
            </c:strRef>
          </c:cat>
          <c:val>
            <c:numRef>
              <c:f>PivotTables!$F$51:$F$55</c:f>
              <c:numCache>
                <c:formatCode>General</c:formatCode>
                <c:ptCount val="4"/>
                <c:pt idx="0">
                  <c:v>164990.41766733321</c:v>
                </c:pt>
                <c:pt idx="1">
                  <c:v>159315.23223904282</c:v>
                </c:pt>
                <c:pt idx="2">
                  <c:v>155735.34965026696</c:v>
                </c:pt>
                <c:pt idx="3">
                  <c:v>97563.819181365223</c:v>
                </c:pt>
              </c:numCache>
            </c:numRef>
          </c:val>
          <c:extLst>
            <c:ext xmlns:c16="http://schemas.microsoft.com/office/drawing/2014/chart" uri="{C3380CC4-5D6E-409C-BE32-E72D297353CC}">
              <c16:uniqueId val="{00000000-412F-4480-8707-46710B75D805}"/>
            </c:ext>
          </c:extLst>
        </c:ser>
        <c:dLbls>
          <c:showLegendKey val="0"/>
          <c:showVal val="0"/>
          <c:showCatName val="0"/>
          <c:showSerName val="0"/>
          <c:showPercent val="0"/>
          <c:showBubbleSize val="0"/>
        </c:dLbls>
        <c:gapWidth val="219"/>
        <c:overlap val="-27"/>
        <c:axId val="212632671"/>
        <c:axId val="212638431"/>
      </c:barChart>
      <c:catAx>
        <c:axId val="21263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8431"/>
        <c:crosses val="autoZero"/>
        <c:auto val="1"/>
        <c:lblAlgn val="ctr"/>
        <c:lblOffset val="100"/>
        <c:noMultiLvlLbl val="0"/>
      </c:catAx>
      <c:valAx>
        <c:axId val="212638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Risk labels for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PivotTables!$B$75</c:f>
              <c:strCache>
                <c:ptCount val="1"/>
                <c:pt idx="0">
                  <c:v>Total</c:v>
                </c:pt>
              </c:strCache>
            </c:strRef>
          </c:tx>
          <c:spPr>
            <a:solidFill>
              <a:schemeClr val="accent1"/>
            </a:solidFill>
            <a:ln>
              <a:noFill/>
            </a:ln>
            <a:effectLst/>
          </c:spPr>
          <c:invertIfNegative val="0"/>
          <c:cat>
            <c:strRef>
              <c:f>PivotTables!$A$76:$A$79</c:f>
              <c:strCache>
                <c:ptCount val="3"/>
                <c:pt idx="0">
                  <c:v>Medium</c:v>
                </c:pt>
                <c:pt idx="1">
                  <c:v>Low</c:v>
                </c:pt>
                <c:pt idx="2">
                  <c:v>High</c:v>
                </c:pt>
              </c:strCache>
            </c:strRef>
          </c:cat>
          <c:val>
            <c:numRef>
              <c:f>PivotTables!$B$76:$B$79</c:f>
              <c:numCache>
                <c:formatCode>General</c:formatCode>
                <c:ptCount val="3"/>
                <c:pt idx="0">
                  <c:v>49</c:v>
                </c:pt>
                <c:pt idx="1">
                  <c:v>37</c:v>
                </c:pt>
                <c:pt idx="2">
                  <c:v>14</c:v>
                </c:pt>
              </c:numCache>
            </c:numRef>
          </c:val>
          <c:extLst>
            <c:ext xmlns:c16="http://schemas.microsoft.com/office/drawing/2014/chart" uri="{C3380CC4-5D6E-409C-BE32-E72D297353CC}">
              <c16:uniqueId val="{00000000-D2FC-44F6-98D0-47B755F13AA4}"/>
            </c:ext>
          </c:extLst>
        </c:ser>
        <c:dLbls>
          <c:showLegendKey val="0"/>
          <c:showVal val="0"/>
          <c:showCatName val="0"/>
          <c:showSerName val="0"/>
          <c:showPercent val="0"/>
          <c:showBubbleSize val="0"/>
        </c:dLbls>
        <c:gapWidth val="219"/>
        <c:overlap val="-27"/>
        <c:axId val="760422271"/>
        <c:axId val="760427071"/>
      </c:barChart>
      <c:catAx>
        <c:axId val="76042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27071"/>
        <c:crosses val="autoZero"/>
        <c:auto val="1"/>
        <c:lblAlgn val="ctr"/>
        <c:lblOffset val="100"/>
        <c:noMultiLvlLbl val="0"/>
      </c:catAx>
      <c:valAx>
        <c:axId val="76042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2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for each</a:t>
            </a:r>
            <a:r>
              <a:rPr lang="en-US" baseline="0"/>
              <a:t> Inventory Risk label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PivotTables!$F$75</c:f>
              <c:strCache>
                <c:ptCount val="1"/>
                <c:pt idx="0">
                  <c:v>Total</c:v>
                </c:pt>
              </c:strCache>
            </c:strRef>
          </c:tx>
          <c:spPr>
            <a:solidFill>
              <a:schemeClr val="accent1"/>
            </a:solidFill>
            <a:ln>
              <a:noFill/>
            </a:ln>
            <a:effectLst/>
          </c:spPr>
          <c:invertIfNegative val="0"/>
          <c:cat>
            <c:strRef>
              <c:f>PivotTables!$E$76:$E$79</c:f>
              <c:strCache>
                <c:ptCount val="3"/>
                <c:pt idx="0">
                  <c:v>High</c:v>
                </c:pt>
                <c:pt idx="1">
                  <c:v>Medium</c:v>
                </c:pt>
                <c:pt idx="2">
                  <c:v>Low</c:v>
                </c:pt>
              </c:strCache>
            </c:strRef>
          </c:cat>
          <c:val>
            <c:numRef>
              <c:f>PivotTables!$F$76:$F$79</c:f>
              <c:numCache>
                <c:formatCode>General</c:formatCode>
                <c:ptCount val="3"/>
                <c:pt idx="0">
                  <c:v>6262.6820498737234</c:v>
                </c:pt>
                <c:pt idx="1">
                  <c:v>5924.0350681647633</c:v>
                </c:pt>
                <c:pt idx="2">
                  <c:v>5395.9338297216927</c:v>
                </c:pt>
              </c:numCache>
            </c:numRef>
          </c:val>
          <c:extLst>
            <c:ext xmlns:c16="http://schemas.microsoft.com/office/drawing/2014/chart" uri="{C3380CC4-5D6E-409C-BE32-E72D297353CC}">
              <c16:uniqueId val="{00000000-9DFE-406B-AB10-D824B00641EE}"/>
            </c:ext>
          </c:extLst>
        </c:ser>
        <c:dLbls>
          <c:showLegendKey val="0"/>
          <c:showVal val="0"/>
          <c:showCatName val="0"/>
          <c:showSerName val="0"/>
          <c:showPercent val="0"/>
          <c:showBubbleSize val="0"/>
        </c:dLbls>
        <c:gapWidth val="219"/>
        <c:overlap val="-27"/>
        <c:axId val="1924556447"/>
        <c:axId val="1924558847"/>
      </c:barChart>
      <c:catAx>
        <c:axId val="19245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58847"/>
        <c:crosses val="autoZero"/>
        <c:auto val="1"/>
        <c:lblAlgn val="ctr"/>
        <c:lblOffset val="100"/>
        <c:noMultiLvlLbl val="0"/>
      </c:catAx>
      <c:valAx>
        <c:axId val="192455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5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PivotTables!$B$100</c:f>
              <c:strCache>
                <c:ptCount val="1"/>
                <c:pt idx="0">
                  <c:v>Average of Revenue generated</c:v>
                </c:pt>
              </c:strCache>
            </c:strRef>
          </c:tx>
          <c:spPr>
            <a:solidFill>
              <a:schemeClr val="accent1"/>
            </a:solidFill>
            <a:ln>
              <a:noFill/>
            </a:ln>
            <a:effectLst/>
          </c:spPr>
          <c:invertIfNegative val="0"/>
          <c:cat>
            <c:strRef>
              <c:f>PivotTables!$A$101:$A$104</c:f>
              <c:strCache>
                <c:ptCount val="3"/>
                <c:pt idx="0">
                  <c:v>Female</c:v>
                </c:pt>
                <c:pt idx="1">
                  <c:v>Male</c:v>
                </c:pt>
                <c:pt idx="2">
                  <c:v>Unknown</c:v>
                </c:pt>
              </c:strCache>
            </c:strRef>
          </c:cat>
          <c:val>
            <c:numRef>
              <c:f>PivotTables!$B$101:$B$104</c:f>
              <c:numCache>
                <c:formatCode>General</c:formatCode>
                <c:ptCount val="3"/>
                <c:pt idx="0">
                  <c:v>6019.7896324828989</c:v>
                </c:pt>
                <c:pt idx="1">
                  <c:v>5680.7021405989499</c:v>
                </c:pt>
                <c:pt idx="2">
                  <c:v>5583.5527044185346</c:v>
                </c:pt>
              </c:numCache>
            </c:numRef>
          </c:val>
          <c:extLst>
            <c:ext xmlns:c16="http://schemas.microsoft.com/office/drawing/2014/chart" uri="{C3380CC4-5D6E-409C-BE32-E72D297353CC}">
              <c16:uniqueId val="{00000000-3216-4342-91D1-42FFC9828651}"/>
            </c:ext>
          </c:extLst>
        </c:ser>
        <c:ser>
          <c:idx val="1"/>
          <c:order val="1"/>
          <c:tx>
            <c:strRef>
              <c:f>PivotTables!$C$100</c:f>
              <c:strCache>
                <c:ptCount val="1"/>
                <c:pt idx="0">
                  <c:v>Sum of Number of products sold</c:v>
                </c:pt>
              </c:strCache>
            </c:strRef>
          </c:tx>
          <c:spPr>
            <a:solidFill>
              <a:schemeClr val="accent2"/>
            </a:solidFill>
            <a:ln>
              <a:noFill/>
            </a:ln>
            <a:effectLst/>
          </c:spPr>
          <c:invertIfNegative val="0"/>
          <c:cat>
            <c:strRef>
              <c:f>PivotTables!$A$101:$A$104</c:f>
              <c:strCache>
                <c:ptCount val="3"/>
                <c:pt idx="0">
                  <c:v>Female</c:v>
                </c:pt>
                <c:pt idx="1">
                  <c:v>Male</c:v>
                </c:pt>
                <c:pt idx="2">
                  <c:v>Unknown</c:v>
                </c:pt>
              </c:strCache>
            </c:strRef>
          </c:cat>
          <c:val>
            <c:numRef>
              <c:f>PivotTables!$C$101:$C$104</c:f>
              <c:numCache>
                <c:formatCode>General</c:formatCode>
                <c:ptCount val="3"/>
                <c:pt idx="0">
                  <c:v>18571</c:v>
                </c:pt>
                <c:pt idx="1">
                  <c:v>12317</c:v>
                </c:pt>
                <c:pt idx="2">
                  <c:v>15211</c:v>
                </c:pt>
              </c:numCache>
            </c:numRef>
          </c:val>
          <c:extLst>
            <c:ext xmlns:c16="http://schemas.microsoft.com/office/drawing/2014/chart" uri="{C3380CC4-5D6E-409C-BE32-E72D297353CC}">
              <c16:uniqueId val="{00000002-3216-4342-91D1-42FFC9828651}"/>
            </c:ext>
          </c:extLst>
        </c:ser>
        <c:dLbls>
          <c:showLegendKey val="0"/>
          <c:showVal val="0"/>
          <c:showCatName val="0"/>
          <c:showSerName val="0"/>
          <c:showPercent val="0"/>
          <c:showBubbleSize val="0"/>
        </c:dLbls>
        <c:gapWidth val="219"/>
        <c:overlap val="-27"/>
        <c:axId val="66429439"/>
        <c:axId val="66440479"/>
      </c:barChart>
      <c:catAx>
        <c:axId val="664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0479"/>
        <c:crosses val="autoZero"/>
        <c:auto val="1"/>
        <c:lblAlgn val="ctr"/>
        <c:lblOffset val="100"/>
        <c:noMultiLvlLbl val="0"/>
      </c:catAx>
      <c:valAx>
        <c:axId val="6644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Sum of Revenue generated</c:v>
                </c:pt>
              </c:strCache>
            </c:strRef>
          </c:tx>
          <c:spPr>
            <a:solidFill>
              <a:schemeClr val="accent1"/>
            </a:solidFill>
            <a:ln>
              <a:noFill/>
            </a:ln>
            <a:effectLst/>
          </c:spPr>
          <c:invertIfNegative val="0"/>
          <c:cat>
            <c:strRef>
              <c:f>PivotTables!$A$4:$A$7</c:f>
              <c:strCache>
                <c:ptCount val="3"/>
                <c:pt idx="0">
                  <c:v>skincare</c:v>
                </c:pt>
                <c:pt idx="1">
                  <c:v>haircare</c:v>
                </c:pt>
                <c:pt idx="2">
                  <c:v>cosmetics</c:v>
                </c:pt>
              </c:strCache>
            </c:strRef>
          </c:cat>
          <c:val>
            <c:numRef>
              <c:f>PivotTables!$B$4:$B$7</c:f>
              <c:numCache>
                <c:formatCode>General</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CCEA-4B56-803C-0ADA6891EE75}"/>
            </c:ext>
          </c:extLst>
        </c:ser>
        <c:ser>
          <c:idx val="1"/>
          <c:order val="1"/>
          <c:tx>
            <c:strRef>
              <c:f>PivotTables!$C$3</c:f>
              <c:strCache>
                <c:ptCount val="1"/>
                <c:pt idx="0">
                  <c:v>Sum of Number of products sold</c:v>
                </c:pt>
              </c:strCache>
            </c:strRef>
          </c:tx>
          <c:spPr>
            <a:solidFill>
              <a:schemeClr val="accent2"/>
            </a:solidFill>
            <a:ln>
              <a:noFill/>
            </a:ln>
            <a:effectLst/>
          </c:spPr>
          <c:invertIfNegative val="0"/>
          <c:cat>
            <c:strRef>
              <c:f>PivotTables!$A$4:$A$7</c:f>
              <c:strCache>
                <c:ptCount val="3"/>
                <c:pt idx="0">
                  <c:v>skincare</c:v>
                </c:pt>
                <c:pt idx="1">
                  <c:v>haircare</c:v>
                </c:pt>
                <c:pt idx="2">
                  <c:v>cosmetics</c:v>
                </c:pt>
              </c:strCache>
            </c:strRef>
          </c:cat>
          <c:val>
            <c:numRef>
              <c:f>PivotTables!$C$4:$C$7</c:f>
              <c:numCache>
                <c:formatCode>General</c:formatCode>
                <c:ptCount val="3"/>
                <c:pt idx="0">
                  <c:v>20731</c:v>
                </c:pt>
                <c:pt idx="1">
                  <c:v>13611</c:v>
                </c:pt>
                <c:pt idx="2">
                  <c:v>11757</c:v>
                </c:pt>
              </c:numCache>
            </c:numRef>
          </c:val>
          <c:extLst>
            <c:ext xmlns:c16="http://schemas.microsoft.com/office/drawing/2014/chart" uri="{C3380CC4-5D6E-409C-BE32-E72D297353CC}">
              <c16:uniqueId val="{00000002-CCEA-4B56-803C-0ADA6891EE75}"/>
            </c:ext>
          </c:extLst>
        </c:ser>
        <c:dLbls>
          <c:showLegendKey val="0"/>
          <c:showVal val="0"/>
          <c:showCatName val="0"/>
          <c:showSerName val="0"/>
          <c:showPercent val="0"/>
          <c:showBubbleSize val="0"/>
        </c:dLbls>
        <c:gapWidth val="219"/>
        <c:axId val="1861411503"/>
        <c:axId val="1234653599"/>
      </c:barChart>
      <c:catAx>
        <c:axId val="18614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653599"/>
        <c:crosses val="autoZero"/>
        <c:auto val="1"/>
        <c:lblAlgn val="ctr"/>
        <c:lblOffset val="100"/>
        <c:noMultiLvlLbl val="0"/>
      </c:catAx>
      <c:valAx>
        <c:axId val="123465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141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Defect Rate per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1"/>
            </a:solidFill>
            <a:ln>
              <a:noFill/>
            </a:ln>
            <a:effectLst/>
          </c:spPr>
          <c:invertIfNegative val="0"/>
          <c:cat>
            <c:strRef>
              <c:f>PivotTables!$A$27:$A$32</c:f>
              <c:strCache>
                <c:ptCount val="5"/>
                <c:pt idx="0">
                  <c:v>Supplier 5</c:v>
                </c:pt>
                <c:pt idx="1">
                  <c:v>Supplier 3</c:v>
                </c:pt>
                <c:pt idx="2">
                  <c:v>Supplier 2</c:v>
                </c:pt>
                <c:pt idx="3">
                  <c:v>Supplier 4</c:v>
                </c:pt>
                <c:pt idx="4">
                  <c:v>Supplier 1</c:v>
                </c:pt>
              </c:strCache>
            </c:strRef>
          </c:cat>
          <c:val>
            <c:numRef>
              <c:f>PivotTables!$B$27:$B$32</c:f>
              <c:numCache>
                <c:formatCode>General</c:formatCode>
                <c:ptCount val="5"/>
                <c:pt idx="0">
                  <c:v>2.6654083441491982</c:v>
                </c:pt>
                <c:pt idx="1">
                  <c:v>2.4657860307644657</c:v>
                </c:pt>
                <c:pt idx="2">
                  <c:v>2.3627501450718764</c:v>
                </c:pt>
                <c:pt idx="3">
                  <c:v>2.3373974005913354</c:v>
                </c:pt>
                <c:pt idx="4">
                  <c:v>1.8036297116882485</c:v>
                </c:pt>
              </c:numCache>
            </c:numRef>
          </c:val>
          <c:extLst>
            <c:ext xmlns:c16="http://schemas.microsoft.com/office/drawing/2014/chart" uri="{C3380CC4-5D6E-409C-BE32-E72D297353CC}">
              <c16:uniqueId val="{00000000-687A-44BB-AC21-659254A1DFC3}"/>
            </c:ext>
          </c:extLst>
        </c:ser>
        <c:dLbls>
          <c:showLegendKey val="0"/>
          <c:showVal val="0"/>
          <c:showCatName val="0"/>
          <c:showSerName val="0"/>
          <c:showPercent val="0"/>
          <c:showBubbleSize val="0"/>
        </c:dLbls>
        <c:gapWidth val="219"/>
        <c:axId val="2008311407"/>
        <c:axId val="2027597487"/>
      </c:barChart>
      <c:catAx>
        <c:axId val="20083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97487"/>
        <c:crosses val="autoZero"/>
        <c:auto val="1"/>
        <c:lblAlgn val="ctr"/>
        <c:lblOffset val="100"/>
        <c:noMultiLvlLbl val="0"/>
      </c:catAx>
      <c:valAx>
        <c:axId val="202759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Average of Shipping costs</c:v>
                </c:pt>
              </c:strCache>
            </c:strRef>
          </c:tx>
          <c:spPr>
            <a:solidFill>
              <a:schemeClr val="accent1"/>
            </a:solidFill>
            <a:ln>
              <a:noFill/>
            </a:ln>
            <a:effectLst/>
          </c:spPr>
          <c:invertIfNegative val="0"/>
          <c:cat>
            <c:strRef>
              <c:f>PivotTables!$A$51:$A$55</c:f>
              <c:strCache>
                <c:ptCount val="4"/>
                <c:pt idx="0">
                  <c:v>Road</c:v>
                </c:pt>
                <c:pt idx="1">
                  <c:v>Rail</c:v>
                </c:pt>
                <c:pt idx="2">
                  <c:v>Sea</c:v>
                </c:pt>
                <c:pt idx="3">
                  <c:v>Air</c:v>
                </c:pt>
              </c:strCache>
            </c:strRef>
          </c:cat>
          <c:val>
            <c:numRef>
              <c:f>PivotTables!$B$51:$B$55</c:f>
              <c:numCache>
                <c:formatCode>General</c:formatCode>
                <c:ptCount val="4"/>
                <c:pt idx="0">
                  <c:v>5.542115390045792</c:v>
                </c:pt>
                <c:pt idx="1">
                  <c:v>5.4690979361028562</c:v>
                </c:pt>
                <c:pt idx="2">
                  <c:v>4.9702938152238989</c:v>
                </c:pt>
                <c:pt idx="3">
                  <c:v>6.0178393777286159</c:v>
                </c:pt>
              </c:numCache>
            </c:numRef>
          </c:val>
          <c:extLst>
            <c:ext xmlns:c16="http://schemas.microsoft.com/office/drawing/2014/chart" uri="{C3380CC4-5D6E-409C-BE32-E72D297353CC}">
              <c16:uniqueId val="{00000000-59D8-449B-9716-FEE73431A78D}"/>
            </c:ext>
          </c:extLst>
        </c:ser>
        <c:ser>
          <c:idx val="1"/>
          <c:order val="1"/>
          <c:tx>
            <c:strRef>
              <c:f>PivotTables!$C$50</c:f>
              <c:strCache>
                <c:ptCount val="1"/>
                <c:pt idx="0">
                  <c:v>Average of Lead time</c:v>
                </c:pt>
              </c:strCache>
            </c:strRef>
          </c:tx>
          <c:spPr>
            <a:solidFill>
              <a:schemeClr val="accent2"/>
            </a:solidFill>
            <a:ln>
              <a:noFill/>
            </a:ln>
            <a:effectLst/>
          </c:spPr>
          <c:invertIfNegative val="0"/>
          <c:cat>
            <c:strRef>
              <c:f>PivotTables!$A$51:$A$55</c:f>
              <c:strCache>
                <c:ptCount val="4"/>
                <c:pt idx="0">
                  <c:v>Road</c:v>
                </c:pt>
                <c:pt idx="1">
                  <c:v>Rail</c:v>
                </c:pt>
                <c:pt idx="2">
                  <c:v>Sea</c:v>
                </c:pt>
                <c:pt idx="3">
                  <c:v>Air</c:v>
                </c:pt>
              </c:strCache>
            </c:strRef>
          </c:cat>
          <c:val>
            <c:numRef>
              <c:f>PivotTables!$C$51:$C$55</c:f>
              <c:numCache>
                <c:formatCode>General</c:formatCode>
                <c:ptCount val="4"/>
                <c:pt idx="0">
                  <c:v>18.03448275862069</c:v>
                </c:pt>
                <c:pt idx="1">
                  <c:v>17.535714285714285</c:v>
                </c:pt>
                <c:pt idx="2">
                  <c:v>16.411764705882351</c:v>
                </c:pt>
                <c:pt idx="3">
                  <c:v>15.961538461538462</c:v>
                </c:pt>
              </c:numCache>
            </c:numRef>
          </c:val>
          <c:extLst>
            <c:ext xmlns:c16="http://schemas.microsoft.com/office/drawing/2014/chart" uri="{C3380CC4-5D6E-409C-BE32-E72D297353CC}">
              <c16:uniqueId val="{00000002-59D8-449B-9716-FEE73431A78D}"/>
            </c:ext>
          </c:extLst>
        </c:ser>
        <c:dLbls>
          <c:showLegendKey val="0"/>
          <c:showVal val="0"/>
          <c:showCatName val="0"/>
          <c:showSerName val="0"/>
          <c:showPercent val="0"/>
          <c:showBubbleSize val="0"/>
        </c:dLbls>
        <c:gapWidth val="219"/>
        <c:overlap val="-27"/>
        <c:axId val="214661103"/>
        <c:axId val="214662063"/>
      </c:barChart>
      <c:catAx>
        <c:axId val="2146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2063"/>
        <c:crosses val="autoZero"/>
        <c:auto val="1"/>
        <c:lblAlgn val="ctr"/>
        <c:lblOffset val="100"/>
        <c:noMultiLvlLbl val="0"/>
      </c:catAx>
      <c:valAx>
        <c:axId val="21466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for each</a:t>
            </a:r>
            <a:r>
              <a:rPr lang="en-US" baseline="0"/>
              <a:t> Inventory Risk label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PivotTables!$F$75</c:f>
              <c:strCache>
                <c:ptCount val="1"/>
                <c:pt idx="0">
                  <c:v>Total</c:v>
                </c:pt>
              </c:strCache>
            </c:strRef>
          </c:tx>
          <c:spPr>
            <a:solidFill>
              <a:schemeClr val="accent1"/>
            </a:solidFill>
            <a:ln>
              <a:noFill/>
            </a:ln>
            <a:effectLst/>
          </c:spPr>
          <c:invertIfNegative val="0"/>
          <c:cat>
            <c:strRef>
              <c:f>PivotTables!$E$76:$E$79</c:f>
              <c:strCache>
                <c:ptCount val="3"/>
                <c:pt idx="0">
                  <c:v>High</c:v>
                </c:pt>
                <c:pt idx="1">
                  <c:v>Medium</c:v>
                </c:pt>
                <c:pt idx="2">
                  <c:v>Low</c:v>
                </c:pt>
              </c:strCache>
            </c:strRef>
          </c:cat>
          <c:val>
            <c:numRef>
              <c:f>PivotTables!$F$76:$F$79</c:f>
              <c:numCache>
                <c:formatCode>General</c:formatCode>
                <c:ptCount val="3"/>
                <c:pt idx="0">
                  <c:v>6262.6820498737234</c:v>
                </c:pt>
                <c:pt idx="1">
                  <c:v>5924.0350681647633</c:v>
                </c:pt>
                <c:pt idx="2">
                  <c:v>5395.9338297216927</c:v>
                </c:pt>
              </c:numCache>
            </c:numRef>
          </c:val>
          <c:extLst>
            <c:ext xmlns:c16="http://schemas.microsoft.com/office/drawing/2014/chart" uri="{C3380CC4-5D6E-409C-BE32-E72D297353CC}">
              <c16:uniqueId val="{00000000-8066-4E58-9085-83A33919AED4}"/>
            </c:ext>
          </c:extLst>
        </c:ser>
        <c:dLbls>
          <c:showLegendKey val="0"/>
          <c:showVal val="0"/>
          <c:showCatName val="0"/>
          <c:showSerName val="0"/>
          <c:showPercent val="0"/>
          <c:showBubbleSize val="0"/>
        </c:dLbls>
        <c:gapWidth val="219"/>
        <c:overlap val="-27"/>
        <c:axId val="1924556447"/>
        <c:axId val="1924558847"/>
      </c:barChart>
      <c:catAx>
        <c:axId val="19245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58847"/>
        <c:crosses val="autoZero"/>
        <c:auto val="1"/>
        <c:lblAlgn val="ctr"/>
        <c:lblOffset val="100"/>
        <c:noMultiLvlLbl val="0"/>
      </c:catAx>
      <c:valAx>
        <c:axId val="192455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5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[supply_chain_data.xlsx]PivotTables!PivotTable11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PivotTables!$B$100</c:f>
              <c:strCache>
                <c:ptCount val="1"/>
                <c:pt idx="0">
                  <c:v>Average of Revenue generated</c:v>
                </c:pt>
              </c:strCache>
            </c:strRef>
          </c:tx>
          <c:spPr>
            <a:solidFill>
              <a:schemeClr val="accent1"/>
            </a:solidFill>
            <a:ln>
              <a:noFill/>
            </a:ln>
            <a:effectLst/>
          </c:spPr>
          <c:invertIfNegative val="0"/>
          <c:cat>
            <c:strRef>
              <c:f>PivotTables!$A$101:$A$104</c:f>
              <c:strCache>
                <c:ptCount val="3"/>
                <c:pt idx="0">
                  <c:v>Female</c:v>
                </c:pt>
                <c:pt idx="1">
                  <c:v>Male</c:v>
                </c:pt>
                <c:pt idx="2">
                  <c:v>Unknown</c:v>
                </c:pt>
              </c:strCache>
            </c:strRef>
          </c:cat>
          <c:val>
            <c:numRef>
              <c:f>PivotTables!$B$101:$B$104</c:f>
              <c:numCache>
                <c:formatCode>General</c:formatCode>
                <c:ptCount val="3"/>
                <c:pt idx="0">
                  <c:v>6019.7896324828989</c:v>
                </c:pt>
                <c:pt idx="1">
                  <c:v>5680.7021405989499</c:v>
                </c:pt>
                <c:pt idx="2">
                  <c:v>5583.5527044185346</c:v>
                </c:pt>
              </c:numCache>
            </c:numRef>
          </c:val>
          <c:extLst>
            <c:ext xmlns:c16="http://schemas.microsoft.com/office/drawing/2014/chart" uri="{C3380CC4-5D6E-409C-BE32-E72D297353CC}">
              <c16:uniqueId val="{00000000-E858-46E3-95BA-19810BD4D84A}"/>
            </c:ext>
          </c:extLst>
        </c:ser>
        <c:ser>
          <c:idx val="1"/>
          <c:order val="1"/>
          <c:tx>
            <c:strRef>
              <c:f>PivotTables!$C$100</c:f>
              <c:strCache>
                <c:ptCount val="1"/>
                <c:pt idx="0">
                  <c:v>Sum of Number of products sold</c:v>
                </c:pt>
              </c:strCache>
            </c:strRef>
          </c:tx>
          <c:spPr>
            <a:solidFill>
              <a:schemeClr val="accent2"/>
            </a:solidFill>
            <a:ln>
              <a:noFill/>
            </a:ln>
            <a:effectLst/>
          </c:spPr>
          <c:invertIfNegative val="0"/>
          <c:cat>
            <c:strRef>
              <c:f>PivotTables!$A$101:$A$104</c:f>
              <c:strCache>
                <c:ptCount val="3"/>
                <c:pt idx="0">
                  <c:v>Female</c:v>
                </c:pt>
                <c:pt idx="1">
                  <c:v>Male</c:v>
                </c:pt>
                <c:pt idx="2">
                  <c:v>Unknown</c:v>
                </c:pt>
              </c:strCache>
            </c:strRef>
          </c:cat>
          <c:val>
            <c:numRef>
              <c:f>PivotTables!$C$101:$C$104</c:f>
              <c:numCache>
                <c:formatCode>General</c:formatCode>
                <c:ptCount val="3"/>
                <c:pt idx="0">
                  <c:v>18571</c:v>
                </c:pt>
                <c:pt idx="1">
                  <c:v>12317</c:v>
                </c:pt>
                <c:pt idx="2">
                  <c:v>15211</c:v>
                </c:pt>
              </c:numCache>
            </c:numRef>
          </c:val>
          <c:extLst>
            <c:ext xmlns:c16="http://schemas.microsoft.com/office/drawing/2014/chart" uri="{C3380CC4-5D6E-409C-BE32-E72D297353CC}">
              <c16:uniqueId val="{00000001-E858-46E3-95BA-19810BD4D84A}"/>
            </c:ext>
          </c:extLst>
        </c:ser>
        <c:dLbls>
          <c:showLegendKey val="0"/>
          <c:showVal val="0"/>
          <c:showCatName val="0"/>
          <c:showSerName val="0"/>
          <c:showPercent val="0"/>
          <c:showBubbleSize val="0"/>
        </c:dLbls>
        <c:gapWidth val="219"/>
        <c:overlap val="-27"/>
        <c:axId val="66429439"/>
        <c:axId val="66440479"/>
      </c:barChart>
      <c:catAx>
        <c:axId val="664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0479"/>
        <c:crosses val="autoZero"/>
        <c:auto val="1"/>
        <c:lblAlgn val="ctr"/>
        <c:lblOffset val="100"/>
        <c:noMultiLvlLbl val="0"/>
      </c:catAx>
      <c:valAx>
        <c:axId val="6644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absolute">
    <xdr:from>
      <xdr:col>31</xdr:col>
      <xdr:colOff>150019</xdr:colOff>
      <xdr:row>29</xdr:row>
      <xdr:rowOff>83344</xdr:rowOff>
    </xdr:from>
    <xdr:to>
      <xdr:col>34</xdr:col>
      <xdr:colOff>157162</xdr:colOff>
      <xdr:row>43</xdr:row>
      <xdr:rowOff>83344</xdr:rowOff>
    </xdr:to>
    <mc:AlternateContent xmlns:mc="http://schemas.openxmlformats.org/markup-compatibility/2006" xmlns:sle15="http://schemas.microsoft.com/office/drawing/2012/slicer">
      <mc:Choice Requires="sle15">
        <xdr:graphicFrame macro="">
          <xdr:nvGraphicFramePr>
            <xdr:cNvPr id="2" name="Product type">
              <a:extLst>
                <a:ext uri="{FF2B5EF4-FFF2-40B4-BE49-F238E27FC236}">
                  <a16:creationId xmlns:a16="http://schemas.microsoft.com/office/drawing/2014/main" id="{825DACE0-5263-F58F-8C2D-226F8A778A8C}"/>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32880300" y="5607844"/>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31</xdr:col>
      <xdr:colOff>138113</xdr:colOff>
      <xdr:row>15</xdr:row>
      <xdr:rowOff>0</xdr:rowOff>
    </xdr:from>
    <xdr:to>
      <xdr:col>34</xdr:col>
      <xdr:colOff>145256</xdr:colOff>
      <xdr:row>29</xdr:row>
      <xdr:rowOff>0</xdr:rowOff>
    </xdr:to>
    <mc:AlternateContent xmlns:mc="http://schemas.openxmlformats.org/markup-compatibility/2006" xmlns:sle15="http://schemas.microsoft.com/office/drawing/2012/slicer">
      <mc:Choice Requires="sle15">
        <xdr:graphicFrame macro="">
          <xdr:nvGraphicFramePr>
            <xdr:cNvPr id="3" name="Supplier name">
              <a:extLst>
                <a:ext uri="{FF2B5EF4-FFF2-40B4-BE49-F238E27FC236}">
                  <a16:creationId xmlns:a16="http://schemas.microsoft.com/office/drawing/2014/main" id="{9DA2E6C4-9B07-7DB7-D8CE-5DC2E2964963}"/>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32868394" y="2857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31</xdr:col>
      <xdr:colOff>102394</xdr:colOff>
      <xdr:row>0</xdr:row>
      <xdr:rowOff>95250</xdr:rowOff>
    </xdr:from>
    <xdr:to>
      <xdr:col>34</xdr:col>
      <xdr:colOff>109537</xdr:colOff>
      <xdr:row>14</xdr:row>
      <xdr:rowOff>95250</xdr:rowOff>
    </xdr:to>
    <mc:AlternateContent xmlns:mc="http://schemas.openxmlformats.org/markup-compatibility/2006" xmlns:sle15="http://schemas.microsoft.com/office/drawing/2012/slicer">
      <mc:Choice Requires="sle15">
        <xdr:graphicFrame macro="">
          <xdr:nvGraphicFramePr>
            <xdr:cNvPr id="4" name="Transportation modes">
              <a:extLst>
                <a:ext uri="{FF2B5EF4-FFF2-40B4-BE49-F238E27FC236}">
                  <a16:creationId xmlns:a16="http://schemas.microsoft.com/office/drawing/2014/main" id="{22FFB783-59AC-61B7-BFA0-E05C147F7565}"/>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32832675" y="95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7</xdr:row>
      <xdr:rowOff>128587</xdr:rowOff>
    </xdr:from>
    <xdr:to>
      <xdr:col>3</xdr:col>
      <xdr:colOff>171450</xdr:colOff>
      <xdr:row>22</xdr:row>
      <xdr:rowOff>14287</xdr:rowOff>
    </xdr:to>
    <xdr:graphicFrame macro="">
      <xdr:nvGraphicFramePr>
        <xdr:cNvPr id="2" name="Chart 1">
          <a:extLst>
            <a:ext uri="{FF2B5EF4-FFF2-40B4-BE49-F238E27FC236}">
              <a16:creationId xmlns:a16="http://schemas.microsoft.com/office/drawing/2014/main" id="{4EF0AAA7-DD87-1569-E39D-894B3FD66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32</xdr:row>
      <xdr:rowOff>147637</xdr:rowOff>
    </xdr:from>
    <xdr:to>
      <xdr:col>2</xdr:col>
      <xdr:colOff>1314450</xdr:colOff>
      <xdr:row>47</xdr:row>
      <xdr:rowOff>33337</xdr:rowOff>
    </xdr:to>
    <xdr:graphicFrame macro="">
      <xdr:nvGraphicFramePr>
        <xdr:cNvPr id="3" name="Chart 2">
          <a:extLst>
            <a:ext uri="{FF2B5EF4-FFF2-40B4-BE49-F238E27FC236}">
              <a16:creationId xmlns:a16="http://schemas.microsoft.com/office/drawing/2014/main" id="{F6749CE2-1274-850A-9542-6743B657D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695325</xdr:colOff>
      <xdr:row>31</xdr:row>
      <xdr:rowOff>71437</xdr:rowOff>
    </xdr:from>
    <xdr:to>
      <xdr:col>8</xdr:col>
      <xdr:colOff>104775</xdr:colOff>
      <xdr:row>45</xdr:row>
      <xdr:rowOff>147637</xdr:rowOff>
    </xdr:to>
    <xdr:graphicFrame macro="">
      <xdr:nvGraphicFramePr>
        <xdr:cNvPr id="4" name="Chart 3">
          <a:extLst>
            <a:ext uri="{FF2B5EF4-FFF2-40B4-BE49-F238E27FC236}">
              <a16:creationId xmlns:a16="http://schemas.microsoft.com/office/drawing/2014/main" id="{D7307D54-F16B-0B62-4E85-1DF129AEF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390524</xdr:colOff>
      <xdr:row>31</xdr:row>
      <xdr:rowOff>90487</xdr:rowOff>
    </xdr:from>
    <xdr:to>
      <xdr:col>13</xdr:col>
      <xdr:colOff>590549</xdr:colOff>
      <xdr:row>45</xdr:row>
      <xdr:rowOff>166687</xdr:rowOff>
    </xdr:to>
    <xdr:graphicFrame macro="">
      <xdr:nvGraphicFramePr>
        <xdr:cNvPr id="5" name="Chart 4">
          <a:extLst>
            <a:ext uri="{FF2B5EF4-FFF2-40B4-BE49-F238E27FC236}">
              <a16:creationId xmlns:a16="http://schemas.microsoft.com/office/drawing/2014/main" id="{EDD71027-CBDC-9E7E-4E8A-6D01D440E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85725</xdr:colOff>
      <xdr:row>55</xdr:row>
      <xdr:rowOff>61912</xdr:rowOff>
    </xdr:from>
    <xdr:to>
      <xdr:col>3</xdr:col>
      <xdr:colOff>1695450</xdr:colOff>
      <xdr:row>69</xdr:row>
      <xdr:rowOff>138112</xdr:rowOff>
    </xdr:to>
    <xdr:graphicFrame macro="">
      <xdr:nvGraphicFramePr>
        <xdr:cNvPr id="6" name="Chart 5">
          <a:extLst>
            <a:ext uri="{FF2B5EF4-FFF2-40B4-BE49-F238E27FC236}">
              <a16:creationId xmlns:a16="http://schemas.microsoft.com/office/drawing/2014/main" id="{C2773732-439A-4A71-E2B1-7FEACE125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76200</xdr:colOff>
      <xdr:row>55</xdr:row>
      <xdr:rowOff>71437</xdr:rowOff>
    </xdr:from>
    <xdr:to>
      <xdr:col>9</xdr:col>
      <xdr:colOff>200025</xdr:colOff>
      <xdr:row>69</xdr:row>
      <xdr:rowOff>147637</xdr:rowOff>
    </xdr:to>
    <xdr:graphicFrame macro="">
      <xdr:nvGraphicFramePr>
        <xdr:cNvPr id="7" name="Chart 6">
          <a:extLst>
            <a:ext uri="{FF2B5EF4-FFF2-40B4-BE49-F238E27FC236}">
              <a16:creationId xmlns:a16="http://schemas.microsoft.com/office/drawing/2014/main" id="{412B173F-2E12-29ED-7C7E-7D2C9A01A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142875</xdr:colOff>
      <xdr:row>79</xdr:row>
      <xdr:rowOff>52387</xdr:rowOff>
    </xdr:from>
    <xdr:to>
      <xdr:col>3</xdr:col>
      <xdr:colOff>857250</xdr:colOff>
      <xdr:row>93</xdr:row>
      <xdr:rowOff>128587</xdr:rowOff>
    </xdr:to>
    <xdr:graphicFrame macro="">
      <xdr:nvGraphicFramePr>
        <xdr:cNvPr id="8" name="Chart 7">
          <a:extLst>
            <a:ext uri="{FF2B5EF4-FFF2-40B4-BE49-F238E27FC236}">
              <a16:creationId xmlns:a16="http://schemas.microsoft.com/office/drawing/2014/main" id="{FA8DDCE3-B569-6982-5CB9-20788A718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xdr:colOff>
      <xdr:row>79</xdr:row>
      <xdr:rowOff>42862</xdr:rowOff>
    </xdr:from>
    <xdr:to>
      <xdr:col>9</xdr:col>
      <xdr:colOff>142875</xdr:colOff>
      <xdr:row>93</xdr:row>
      <xdr:rowOff>119062</xdr:rowOff>
    </xdr:to>
    <xdr:graphicFrame macro="">
      <xdr:nvGraphicFramePr>
        <xdr:cNvPr id="9" name="Chart 8">
          <a:extLst>
            <a:ext uri="{FF2B5EF4-FFF2-40B4-BE49-F238E27FC236}">
              <a16:creationId xmlns:a16="http://schemas.microsoft.com/office/drawing/2014/main" id="{9F1E317A-C7EE-4B05-EF31-61E723DAA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95250</xdr:colOff>
      <xdr:row>104</xdr:row>
      <xdr:rowOff>42862</xdr:rowOff>
    </xdr:from>
    <xdr:to>
      <xdr:col>3</xdr:col>
      <xdr:colOff>1190625</xdr:colOff>
      <xdr:row>118</xdr:row>
      <xdr:rowOff>119062</xdr:rowOff>
    </xdr:to>
    <xdr:graphicFrame macro="">
      <xdr:nvGraphicFramePr>
        <xdr:cNvPr id="10" name="Chart 9">
          <a:extLst>
            <a:ext uri="{FF2B5EF4-FFF2-40B4-BE49-F238E27FC236}">
              <a16:creationId xmlns:a16="http://schemas.microsoft.com/office/drawing/2014/main" id="{96A37818-F4FC-55D0-768E-0BFE014B5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314325</xdr:colOff>
      <xdr:row>1</xdr:row>
      <xdr:rowOff>123825</xdr:rowOff>
    </xdr:from>
    <xdr:to>
      <xdr:col>4</xdr:col>
      <xdr:colOff>781050</xdr:colOff>
      <xdr:row>12</xdr:row>
      <xdr:rowOff>180975</xdr:rowOff>
    </xdr:to>
    <mc:AlternateContent xmlns:mc="http://schemas.openxmlformats.org/markup-compatibility/2006" xmlns:a14="http://schemas.microsoft.com/office/drawing/2010/main">
      <mc:Choice Requires="a14">
        <xdr:graphicFrame macro="">
          <xdr:nvGraphicFramePr>
            <xdr:cNvPr id="11" name="Product type 1">
              <a:extLst>
                <a:ext uri="{FF2B5EF4-FFF2-40B4-BE49-F238E27FC236}">
                  <a16:creationId xmlns:a16="http://schemas.microsoft.com/office/drawing/2014/main" id="{F358C784-3809-D692-EBA5-6268D5F2629F}"/>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5191125" y="361950"/>
              <a:ext cx="1362075"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809624</xdr:colOff>
      <xdr:row>1</xdr:row>
      <xdr:rowOff>171450</xdr:rowOff>
    </xdr:from>
    <xdr:to>
      <xdr:col>5</xdr:col>
      <xdr:colOff>1276349</xdr:colOff>
      <xdr:row>12</xdr:row>
      <xdr:rowOff>95250</xdr:rowOff>
    </xdr:to>
    <mc:AlternateContent xmlns:mc="http://schemas.openxmlformats.org/markup-compatibility/2006" xmlns:a14="http://schemas.microsoft.com/office/drawing/2010/main">
      <mc:Choice Requires="a14">
        <xdr:graphicFrame macro="">
          <xdr:nvGraphicFramePr>
            <xdr:cNvPr id="12" name="Supplier name 1">
              <a:extLst>
                <a:ext uri="{FF2B5EF4-FFF2-40B4-BE49-F238E27FC236}">
                  <a16:creationId xmlns:a16="http://schemas.microsoft.com/office/drawing/2014/main" id="{8A212885-B252-2BE5-3120-A297FE28CF22}"/>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6581774" y="409575"/>
              <a:ext cx="1362075"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1295400</xdr:colOff>
      <xdr:row>1</xdr:row>
      <xdr:rowOff>180975</xdr:rowOff>
    </xdr:from>
    <xdr:to>
      <xdr:col>6</xdr:col>
      <xdr:colOff>1076325</xdr:colOff>
      <xdr:row>12</xdr:row>
      <xdr:rowOff>66675</xdr:rowOff>
    </xdr:to>
    <mc:AlternateContent xmlns:mc="http://schemas.openxmlformats.org/markup-compatibility/2006" xmlns:a14="http://schemas.microsoft.com/office/drawing/2010/main">
      <mc:Choice Requires="a14">
        <xdr:graphicFrame macro="">
          <xdr:nvGraphicFramePr>
            <xdr:cNvPr id="13" name="Transportation modes 1">
              <a:extLst>
                <a:ext uri="{FF2B5EF4-FFF2-40B4-BE49-F238E27FC236}">
                  <a16:creationId xmlns:a16="http://schemas.microsoft.com/office/drawing/2014/main" id="{F0215D64-6B29-923B-E1D5-7C23D2F7073C}"/>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7962900" y="419100"/>
              <a:ext cx="150495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104775</xdr:rowOff>
    </xdr:from>
    <xdr:to>
      <xdr:col>3</xdr:col>
      <xdr:colOff>1238250</xdr:colOff>
      <xdr:row>16</xdr:row>
      <xdr:rowOff>152400</xdr:rowOff>
    </xdr:to>
    <xdr:graphicFrame macro="">
      <xdr:nvGraphicFramePr>
        <xdr:cNvPr id="2" name="Chart 1">
          <a:extLst>
            <a:ext uri="{FF2B5EF4-FFF2-40B4-BE49-F238E27FC236}">
              <a16:creationId xmlns:a16="http://schemas.microsoft.com/office/drawing/2014/main" id="{9236B484-DF2F-4E17-856C-83F011138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xdr:colOff>
      <xdr:row>6</xdr:row>
      <xdr:rowOff>114300</xdr:rowOff>
    </xdr:from>
    <xdr:to>
      <xdr:col>7</xdr:col>
      <xdr:colOff>295275</xdr:colOff>
      <xdr:row>16</xdr:row>
      <xdr:rowOff>152400</xdr:rowOff>
    </xdr:to>
    <xdr:graphicFrame macro="">
      <xdr:nvGraphicFramePr>
        <xdr:cNvPr id="3" name="Chart 2">
          <a:extLst>
            <a:ext uri="{FF2B5EF4-FFF2-40B4-BE49-F238E27FC236}">
              <a16:creationId xmlns:a16="http://schemas.microsoft.com/office/drawing/2014/main" id="{67EDEE39-79B8-42BB-B561-205E035D6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4</xdr:col>
      <xdr:colOff>781050</xdr:colOff>
      <xdr:row>30</xdr:row>
      <xdr:rowOff>114300</xdr:rowOff>
    </xdr:to>
    <xdr:graphicFrame macro="">
      <xdr:nvGraphicFramePr>
        <xdr:cNvPr id="4" name="Chart 3">
          <a:extLst>
            <a:ext uri="{FF2B5EF4-FFF2-40B4-BE49-F238E27FC236}">
              <a16:creationId xmlns:a16="http://schemas.microsoft.com/office/drawing/2014/main" id="{3DECD20D-C5C5-4170-B451-44EAE4B83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1009651</xdr:colOff>
      <xdr:row>17</xdr:row>
      <xdr:rowOff>142875</xdr:rowOff>
    </xdr:from>
    <xdr:to>
      <xdr:col>12</xdr:col>
      <xdr:colOff>47626</xdr:colOff>
      <xdr:row>31</xdr:row>
      <xdr:rowOff>95250</xdr:rowOff>
    </xdr:to>
    <xdr:graphicFrame macro="">
      <xdr:nvGraphicFramePr>
        <xdr:cNvPr id="5" name="Chart 4">
          <a:extLst>
            <a:ext uri="{FF2B5EF4-FFF2-40B4-BE49-F238E27FC236}">
              <a16:creationId xmlns:a16="http://schemas.microsoft.com/office/drawing/2014/main" id="{426E6BEC-7839-4AD8-89CE-21708C926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4</xdr:col>
      <xdr:colOff>1152524</xdr:colOff>
      <xdr:row>44</xdr:row>
      <xdr:rowOff>171450</xdr:rowOff>
    </xdr:to>
    <xdr:graphicFrame macro="">
      <xdr:nvGraphicFramePr>
        <xdr:cNvPr id="6" name="Chart 5">
          <a:extLst>
            <a:ext uri="{FF2B5EF4-FFF2-40B4-BE49-F238E27FC236}">
              <a16:creationId xmlns:a16="http://schemas.microsoft.com/office/drawing/2014/main" id="{CE209BDA-8E36-45CC-839C-A3E5DB023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dy McMan" refreshedDate="46204.965797106481" createdVersion="8" refreshedVersion="8" minRefreshableVersion="3" recordCount="100" xr:uid="{0BA2316A-48EB-466A-89EA-3574DD70315A}">
  <cacheSource type="worksheet">
    <worksheetSource ref="A1:AE101" sheet="SupplyData"/>
  </cacheSource>
  <cacheFields count="31">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ount="3">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0">
      <sharedItems containsSemiMixedTypes="0" containsString="0" containsNumber="1" minValue="103.916247960704" maxValue="997.41345013319403"/>
    </cacheField>
    <cacheField name="Field25" caption="Field25" numFmtId="0">
      <sharedItems containsNonDate="0" containsString="0" containsBlank="1"/>
    </cacheField>
    <cacheField name="Revenue per Unit Sold" numFmtId="44">
      <sharedItems containsSemiMixedTypes="0" containsString="0" containsNumber="1" minValue="1.3662351140991016" maxValue="1197.2187032335912"/>
    </cacheField>
    <cacheField name="cost per unit" numFmtId="44">
      <sharedItems containsSemiMixedTypes="0" containsString="0" containsNumber="1" minValue="3.4556323872199368E-3" maxValue="0.56548583878712833"/>
    </cacheField>
    <cacheField name="shipping cost %" numFmtId="10">
      <sharedItems containsSemiMixedTypes="0" containsString="0" containsNumber="1" minValue="1.1002550159329594E-2" maxValue="0.51507586594606158"/>
    </cacheField>
    <cacheField name="inventory risk" numFmtId="0">
      <sharedItems count="3">
        <s v="Medium"/>
        <s v="Low"/>
        <s v="High"/>
      </sharedItems>
    </cacheField>
    <cacheField name="profit margin" numFmtId="44">
      <sharedItems containsSemiMixedTypes="0" containsString="0" containsNumber="1" minValue="747.14348715966764" maxValue="9405.1413247489254"/>
    </cacheField>
    <cacheField name="profit margin %" numFmtId="10">
      <sharedItems containsSemiMixedTypes="0" containsString="0" containsNumber="1" minValue="0.46437186923357221" maxValue="0.98268619271753466"/>
    </cacheField>
  </cacheFields>
  <extLst>
    <ext xmlns:x14="http://schemas.microsoft.com/office/spreadsheetml/2009/9/main" uri="{725AE2AE-9491-48be-B2B4-4EB974FC3084}">
      <x14:pivotCacheDefinition pivotCacheId="153087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x v="0"/>
    <n v="58"/>
    <n v="7"/>
    <n v="96"/>
    <n v="4"/>
    <s v="Carrier B"/>
    <n v="2.9565721394308002"/>
    <x v="0"/>
    <s v="Mumbai"/>
    <n v="29"/>
    <n v="215"/>
    <n v="29"/>
    <n v="46.279879240508301"/>
    <s v="Pending"/>
    <n v="0.226410360849925"/>
    <x v="0"/>
    <s v="Route B"/>
    <n v="187.75207545920301"/>
    <m/>
    <n v="10.800494753606458"/>
    <n v="0.21525525228143397"/>
    <n v="2.1675380395441968E-2"/>
    <x v="0"/>
    <n v="8427.9648376926689"/>
    <n v="0.97298175463361347"/>
  </r>
  <r>
    <x v="1"/>
    <s v="SKU1"/>
    <n v="14.8435232750843"/>
    <n v="95"/>
    <n v="736"/>
    <n v="7460.9000654458396"/>
    <x v="0"/>
    <n v="53"/>
    <n v="30"/>
    <n v="37"/>
    <n v="2"/>
    <s v="Carrier A"/>
    <n v="9.7165747714313095"/>
    <x v="0"/>
    <s v="Mumbai"/>
    <n v="23"/>
    <n v="517"/>
    <n v="30"/>
    <n v="33.616768953730002"/>
    <s v="Pending"/>
    <n v="4.8540680263886999"/>
    <x v="0"/>
    <s v="Route B"/>
    <n v="503.06557914966902"/>
    <m/>
    <n v="10.137092480225325"/>
    <n v="6.5022763933713743E-2"/>
    <n v="6.7426929021546608E-2"/>
    <x v="0"/>
    <n v="6924.2177173424407"/>
    <n v="0.92806734530744206"/>
  </r>
  <r>
    <x v="0"/>
    <s v="SKU2"/>
    <n v="11.319683293090501"/>
    <n v="34"/>
    <n v="8"/>
    <n v="9577.7496258687297"/>
    <x v="1"/>
    <n v="1"/>
    <n v="10"/>
    <n v="88"/>
    <n v="2"/>
    <s v="Carrier B"/>
    <n v="8.0544792617321495"/>
    <x v="1"/>
    <s v="Mumbai"/>
    <n v="12"/>
    <n v="971"/>
    <n v="27"/>
    <n v="30.6880193482842"/>
    <s v="Pending"/>
    <n v="4.5805926191992201"/>
    <x v="1"/>
    <s v="Route C"/>
    <n v="141.920281771519"/>
    <m/>
    <n v="1197.2187032335912"/>
    <n v="3.160455133705891E-2"/>
    <n v="1.481770638357509E-2"/>
    <x v="0"/>
    <n v="9405.1413247489254"/>
    <n v="0.98197819865184166"/>
  </r>
  <r>
    <x v="1"/>
    <s v="SKU3"/>
    <n v="61.1633430164377"/>
    <n v="68"/>
    <n v="83"/>
    <n v="7766.8364256852301"/>
    <x v="0"/>
    <n v="23"/>
    <n v="13"/>
    <n v="59"/>
    <n v="6"/>
    <s v="Carrier C"/>
    <n v="1.7295685635434199"/>
    <x v="2"/>
    <s v="Kolkata"/>
    <n v="24"/>
    <n v="937"/>
    <n v="18"/>
    <n v="35.624741397125"/>
    <s v="Fail"/>
    <n v="4.7466486206477496"/>
    <x v="2"/>
    <s v="Route A"/>
    <n v="254.776159219286"/>
    <m/>
    <n v="93.576342478135302"/>
    <n v="3.8020001491061897E-2"/>
    <n v="3.2803080334836372E-2"/>
    <x v="0"/>
    <n v="7476.4355250688186"/>
    <n v="0.96261014334535944"/>
  </r>
  <r>
    <x v="1"/>
    <s v="SKU4"/>
    <n v="4.8054960363458896"/>
    <n v="26"/>
    <n v="871"/>
    <n v="2686.50515156744"/>
    <x v="2"/>
    <n v="5"/>
    <n v="3"/>
    <n v="56"/>
    <n v="8"/>
    <s v="Carrier A"/>
    <n v="3.8905479158706702"/>
    <x v="1"/>
    <s v="Delhi"/>
    <n v="5"/>
    <n v="414"/>
    <n v="3"/>
    <n v="92.065160598712794"/>
    <s v="Fail"/>
    <n v="3.1455795228330001"/>
    <x v="1"/>
    <s v="Route A"/>
    <n v="923.44063171192204"/>
    <m/>
    <n v="3.0843916780338003"/>
    <n v="0.22237961497273623"/>
    <n v="0.34373305823483757"/>
    <x v="0"/>
    <n v="1670.9993592568053"/>
    <n v="0.62199745207332346"/>
  </r>
  <r>
    <x v="0"/>
    <s v="SKU5"/>
    <n v="1.6999760138659299"/>
    <n v="87"/>
    <n v="147"/>
    <n v="2828.3487459757498"/>
    <x v="0"/>
    <n v="90"/>
    <n v="27"/>
    <n v="66"/>
    <n v="3"/>
    <s v="Carrier B"/>
    <n v="4.4440988643822896"/>
    <x v="3"/>
    <s v="Bangalore"/>
    <n v="10"/>
    <n v="104"/>
    <n v="17"/>
    <n v="56.766475557431797"/>
    <s v="Fail"/>
    <n v="2.7791935115711599"/>
    <x v="0"/>
    <s v="Route A"/>
    <n v="235.461236735537"/>
    <m/>
    <n v="19.240467659698979"/>
    <n v="0.54583149574453649"/>
    <n v="8.3250425560340652E-2"/>
    <x v="1"/>
    <n v="2536.1210336827808"/>
    <n v="0.89667903835806728"/>
  </r>
  <r>
    <x v="1"/>
    <s v="SKU6"/>
    <n v="4.0783328631079403"/>
    <n v="48"/>
    <n v="65"/>
    <n v="7823.4765595317303"/>
    <x v="2"/>
    <n v="11"/>
    <n v="15"/>
    <n v="58"/>
    <n v="8"/>
    <s v="Carrier C"/>
    <n v="3.8807633029519999"/>
    <x v="0"/>
    <s v="Kolkata"/>
    <n v="14"/>
    <n v="314"/>
    <n v="24"/>
    <n v="1.0850685695870601"/>
    <s v="Pending"/>
    <n v="1.0009106193041299"/>
    <x v="3"/>
    <s v="Route A"/>
    <n v="134.36909686103101"/>
    <m/>
    <n v="120.3611778389497"/>
    <n v="3.4556323872199368E-3"/>
    <n v="1.717511337045197E-2"/>
    <x v="0"/>
    <n v="7688.0223941011127"/>
    <n v="0.98268619271753466"/>
  </r>
  <r>
    <x v="2"/>
    <s v="SKU7"/>
    <n v="42.958384382459997"/>
    <n v="59"/>
    <n v="426"/>
    <n v="8496.1038130898305"/>
    <x v="0"/>
    <n v="93"/>
    <n v="17"/>
    <n v="11"/>
    <n v="1"/>
    <s v="Carrier B"/>
    <n v="2.3483387844177801"/>
    <x v="3"/>
    <s v="Bangalore"/>
    <n v="22"/>
    <n v="564"/>
    <n v="1"/>
    <n v="99.466108603599096"/>
    <s v="Fail"/>
    <n v="0.39817718685065001"/>
    <x v="0"/>
    <s v="Route C"/>
    <n v="802.05631181755803"/>
    <m/>
    <n v="19.943905664530117"/>
    <n v="0.17635834858794167"/>
    <n v="9.440283799049641E-2"/>
    <x v="1"/>
    <n v="7594.5813926686733"/>
    <n v="0.89388990056451589"/>
  </r>
  <r>
    <x v="2"/>
    <s v="SKU8"/>
    <n v="68.717596748527299"/>
    <n v="78"/>
    <n v="150"/>
    <n v="7517.3632106311197"/>
    <x v="0"/>
    <n v="5"/>
    <n v="10"/>
    <n v="15"/>
    <n v="7"/>
    <s v="Carrier C"/>
    <n v="3.4047338570830199"/>
    <x v="3"/>
    <s v="Mumbai"/>
    <n v="13"/>
    <n v="769"/>
    <n v="8"/>
    <n v="11.423027139565599"/>
    <s v="Pending"/>
    <n v="2.7098626911099601"/>
    <x v="3"/>
    <s v="Route B"/>
    <n v="505.55713422546398"/>
    <m/>
    <n v="50.115754737540797"/>
    <n v="1.4854391598914954E-2"/>
    <n v="6.7251923322063339E-2"/>
    <x v="0"/>
    <n v="7000.38304926609"/>
    <n v="0.93122852430039404"/>
  </r>
  <r>
    <x v="1"/>
    <s v="SKU9"/>
    <n v="64.0157329412785"/>
    <n v="35"/>
    <n v="980"/>
    <n v="4971.1459875855498"/>
    <x v="1"/>
    <n v="14"/>
    <n v="27"/>
    <n v="83"/>
    <n v="1"/>
    <s v="Carrier A"/>
    <n v="7.1666452910482104"/>
    <x v="4"/>
    <s v="Chennai"/>
    <n v="29"/>
    <n v="963"/>
    <n v="23"/>
    <n v="47.957601634951502"/>
    <s v="Pending"/>
    <n v="3.8446144787675798"/>
    <x v="2"/>
    <s v="Route B"/>
    <n v="995.92946149864099"/>
    <m/>
    <n v="5.0725979465158675"/>
    <n v="4.9800209382088789E-2"/>
    <n v="0.20034202656405126"/>
    <x v="2"/>
    <n v="3927.2589244519577"/>
    <n v="0.79001078106728451"/>
  </r>
  <r>
    <x v="1"/>
    <s v="SKU10"/>
    <n v="15.707795681912099"/>
    <n v="11"/>
    <n v="996"/>
    <n v="2330.9658020919401"/>
    <x v="2"/>
    <n v="51"/>
    <n v="13"/>
    <n v="80"/>
    <n v="2"/>
    <s v="Carrier C"/>
    <n v="8.6732112112786108"/>
    <x v="2"/>
    <s v="Kolkata"/>
    <n v="18"/>
    <n v="830"/>
    <n v="5"/>
    <n v="96.527352785310896"/>
    <s v="Pass"/>
    <n v="1.72731392835594"/>
    <x v="0"/>
    <s v="Route B"/>
    <n v="806.10317770292295"/>
    <m/>
    <n v="2.3403271105340764"/>
    <n v="0.11629801540398903"/>
    <n v="0.34582368260378615"/>
    <x v="0"/>
    <n v="1428.3352716037061"/>
    <n v="0.61276543410539852"/>
  </r>
  <r>
    <x v="1"/>
    <s v="SKU11"/>
    <n v="90.635459982288594"/>
    <n v="95"/>
    <n v="960"/>
    <n v="6099.9441155814502"/>
    <x v="0"/>
    <n v="46"/>
    <n v="23"/>
    <n v="60"/>
    <n v="1"/>
    <s v="Carrier A"/>
    <n v="4.5239431243166601"/>
    <x v="4"/>
    <s v="Kolkata"/>
    <n v="28"/>
    <n v="362"/>
    <n v="11"/>
    <n v="27.5923630866636"/>
    <s v="Pending"/>
    <n v="2.1169821372994301E-2"/>
    <x v="1"/>
    <s v="Route A"/>
    <n v="126.72303340940699"/>
    <m/>
    <n v="6.3541084537306771"/>
    <n v="7.6221997476971268E-2"/>
    <n v="2.0774458094740707E-2"/>
    <x v="0"/>
    <n v="5945.6287190853791"/>
    <n v="0.97470216225393047"/>
  </r>
  <r>
    <x v="0"/>
    <s v="SKU12"/>
    <n v="71.213389075359999"/>
    <n v="41"/>
    <n v="336"/>
    <n v="2873.74144602144"/>
    <x v="1"/>
    <n v="100"/>
    <n v="30"/>
    <n v="85"/>
    <n v="4"/>
    <s v="Carrier A"/>
    <n v="1.32527401018452"/>
    <x v="3"/>
    <s v="Kolkata"/>
    <n v="3"/>
    <n v="563"/>
    <n v="3"/>
    <n v="32.321286213424003"/>
    <s v="Fail"/>
    <n v="2.1612537475559099"/>
    <x v="0"/>
    <s v="Route B"/>
    <n v="402.96878907376998"/>
    <m/>
    <n v="8.5528019226828569"/>
    <n v="5.740903412686324E-2"/>
    <n v="0.14022444142692841"/>
    <x v="1"/>
    <n v="2438.4513707342458"/>
    <n v="0.84852844855272802"/>
  </r>
  <r>
    <x v="1"/>
    <s v="SKU13"/>
    <n v="16.160393317379899"/>
    <n v="5"/>
    <n v="249"/>
    <n v="4052.7384162378598"/>
    <x v="2"/>
    <n v="80"/>
    <n v="8"/>
    <n v="48"/>
    <n v="9"/>
    <s v="Carrier A"/>
    <n v="9.5372830611083295"/>
    <x v="2"/>
    <s v="Bangalore"/>
    <n v="23"/>
    <n v="173"/>
    <n v="10"/>
    <n v="97.829050110173199"/>
    <s v="Pending"/>
    <n v="1.63107423007153"/>
    <x v="0"/>
    <s v="Route B"/>
    <n v="547.24100516096803"/>
    <m/>
    <n v="16.276057896537591"/>
    <n v="0.56548583878712833"/>
    <n v="0.13502993506029673"/>
    <x v="1"/>
    <n v="3407.6683609667184"/>
    <n v="0.84083106556135512"/>
  </r>
  <r>
    <x v="1"/>
    <s v="SKU14"/>
    <n v="99.171328638624104"/>
    <n v="26"/>
    <n v="562"/>
    <n v="8653.5709264697998"/>
    <x v="0"/>
    <n v="54"/>
    <n v="29"/>
    <n v="78"/>
    <n v="5"/>
    <s v="Carrier B"/>
    <n v="2.0397701894493299"/>
    <x v="1"/>
    <s v="Kolkata"/>
    <n v="25"/>
    <n v="558"/>
    <n v="14"/>
    <n v="5.7914366298629796"/>
    <s v="Pending"/>
    <n v="0.100682851565093"/>
    <x v="1"/>
    <s v="Route B"/>
    <n v="929.23528996088896"/>
    <m/>
    <n v="15.39781303642313"/>
    <n v="1.0378918691510716E-2"/>
    <n v="0.10738171534695769"/>
    <x v="0"/>
    <n v="7718.5441998790484"/>
    <n v="0.89194903069082565"/>
  </r>
  <r>
    <x v="1"/>
    <s v="SKU15"/>
    <n v="36.989244928626903"/>
    <n v="94"/>
    <n v="469"/>
    <n v="5442.0867853976697"/>
    <x v="2"/>
    <n v="9"/>
    <n v="8"/>
    <n v="69"/>
    <n v="7"/>
    <s v="Carrier B"/>
    <n v="2.4220397232752"/>
    <x v="1"/>
    <s v="Bangalore"/>
    <n v="14"/>
    <n v="580"/>
    <n v="7"/>
    <n v="97.121281751474299"/>
    <s v="Pass"/>
    <n v="2.2644057611985402"/>
    <x v="3"/>
    <s v="Route B"/>
    <n v="127.861800001625"/>
    <m/>
    <n v="11.603596557351109"/>
    <n v="0.16745048577840396"/>
    <n v="2.3494994667249091E-2"/>
    <x v="0"/>
    <n v="5217.1037036445705"/>
    <n v="0.95865867439733254"/>
  </r>
  <r>
    <x v="1"/>
    <s v="SKU16"/>
    <n v="7.5471721097912701"/>
    <n v="74"/>
    <n v="280"/>
    <n v="6453.7979681762799"/>
    <x v="0"/>
    <n v="2"/>
    <n v="5"/>
    <n v="78"/>
    <n v="1"/>
    <s v="Carrier B"/>
    <n v="4.1913245857054999"/>
    <x v="1"/>
    <s v="Bangalore"/>
    <n v="3"/>
    <n v="399"/>
    <n v="21"/>
    <n v="77.106342497849994"/>
    <s v="Pass"/>
    <n v="1.01256308925804"/>
    <x v="1"/>
    <s v="Route A"/>
    <n v="865.52577977123997"/>
    <m/>
    <n v="23.049278457772427"/>
    <n v="0.19324897869135338"/>
    <n v="0.13411107444626455"/>
    <x v="0"/>
    <n v="5511.1658459071896"/>
    <n v="0.85394148888496113"/>
  </r>
  <r>
    <x v="2"/>
    <s v="SKU17"/>
    <n v="81.462534369237005"/>
    <n v="82"/>
    <n v="126"/>
    <n v="2629.39643484526"/>
    <x v="0"/>
    <n v="45"/>
    <n v="17"/>
    <n v="85"/>
    <n v="9"/>
    <s v="Carrier C"/>
    <n v="3.5854189582323399"/>
    <x v="1"/>
    <s v="Chennai"/>
    <n v="7"/>
    <n v="453"/>
    <n v="16"/>
    <n v="47.679680368355299"/>
    <s v="Fail"/>
    <n v="0.102020754918176"/>
    <x v="1"/>
    <s v="Route C"/>
    <n v="670.93439079241"/>
    <m/>
    <n v="20.868225673375079"/>
    <n v="0.10525315754603819"/>
    <n v="0.25516669221158905"/>
    <x v="0"/>
    <n v="1910.7823636844951"/>
    <n v="0.72669999029528032"/>
  </r>
  <r>
    <x v="0"/>
    <s v="SKU18"/>
    <n v="36.4436277704609"/>
    <n v="23"/>
    <n v="620"/>
    <n v="9364.6735050761708"/>
    <x v="1"/>
    <n v="10"/>
    <n v="10"/>
    <n v="46"/>
    <n v="8"/>
    <s v="Carrier C"/>
    <n v="4.3392247141107001"/>
    <x v="4"/>
    <s v="Kolkata"/>
    <n v="18"/>
    <n v="374"/>
    <n v="17"/>
    <n v="27.107980854843898"/>
    <s v="Pending"/>
    <n v="2.2319391107292601"/>
    <x v="3"/>
    <s v="Route A"/>
    <n v="593.48025872065102"/>
    <m/>
    <n v="15.104312104961567"/>
    <n v="7.248123223220293E-2"/>
    <n v="6.3374367339016344E-2"/>
    <x v="0"/>
    <n v="8744.0852655006765"/>
    <n v="0.93373092620483766"/>
  </r>
  <r>
    <x v="1"/>
    <s v="SKU19"/>
    <n v="51.123870087964697"/>
    <n v="100"/>
    <n v="187"/>
    <n v="2553.4955849912099"/>
    <x v="1"/>
    <n v="48"/>
    <n v="11"/>
    <n v="94"/>
    <n v="3"/>
    <s v="Carrier A"/>
    <n v="4.7426358828418698"/>
    <x v="3"/>
    <s v="Chennai"/>
    <n v="20"/>
    <n v="694"/>
    <n v="16"/>
    <n v="82.373320587990193"/>
    <s v="Fail"/>
    <n v="3.64645086541702"/>
    <x v="0"/>
    <s v="Route C"/>
    <n v="477.30763109090299"/>
    <m/>
    <n v="13.655056604231069"/>
    <n v="0.11869354551583601"/>
    <n v="0.18692322551736312"/>
    <x v="0"/>
    <n v="1993.8146333123166"/>
    <n v="0.78081773277049937"/>
  </r>
  <r>
    <x v="1"/>
    <s v="SKU20"/>
    <n v="96.341072439963298"/>
    <n v="22"/>
    <n v="320"/>
    <n v="8128.0276968511898"/>
    <x v="1"/>
    <n v="27"/>
    <n v="12"/>
    <n v="68"/>
    <n v="6"/>
    <s v="Carrier A"/>
    <n v="8.8783346509268402"/>
    <x v="1"/>
    <s v="Chennai"/>
    <n v="29"/>
    <n v="309"/>
    <n v="6"/>
    <n v="65.686259608488598"/>
    <s v="Pass"/>
    <n v="4.2314165735345304"/>
    <x v="1"/>
    <s v="Route B"/>
    <n v="493.871215316205"/>
    <m/>
    <n v="25.400086552659968"/>
    <n v="0.2125768919368563"/>
    <n v="6.0761507432797193E-2"/>
    <x v="0"/>
    <n v="7568.4702219264964"/>
    <n v="0.93115704131502075"/>
  </r>
  <r>
    <x v="2"/>
    <s v="SKU21"/>
    <n v="84.893868984950799"/>
    <n v="60"/>
    <n v="601"/>
    <n v="7087.0526963574302"/>
    <x v="1"/>
    <n v="69"/>
    <n v="25"/>
    <n v="7"/>
    <n v="6"/>
    <s v="Carrier B"/>
    <n v="6.0378837692182898"/>
    <x v="2"/>
    <s v="Chennai"/>
    <n v="19"/>
    <n v="791"/>
    <n v="4"/>
    <n v="61.735728954160898"/>
    <s v="Pending"/>
    <n v="1.8607567631014899E-2"/>
    <x v="1"/>
    <s v="Route C"/>
    <n v="523.36091472015801"/>
    <m/>
    <n v="11.792100992275259"/>
    <n v="7.8047697792870921E-2"/>
    <n v="7.3847470470926879E-2"/>
    <x v="1"/>
    <n v="6501.9560526831119"/>
    <n v="0.91744147126561604"/>
  </r>
  <r>
    <x v="0"/>
    <s v="SKU22"/>
    <n v="27.679780886501899"/>
    <n v="55"/>
    <n v="884"/>
    <n v="2390.8078665561702"/>
    <x v="1"/>
    <n v="71"/>
    <n v="1"/>
    <n v="63"/>
    <n v="10"/>
    <s v="Carrier A"/>
    <n v="9.5676489209230393"/>
    <x v="3"/>
    <s v="Kolkata"/>
    <n v="22"/>
    <n v="780"/>
    <n v="28"/>
    <n v="50.120839612977299"/>
    <s v="Fail"/>
    <n v="2.5912754732111098"/>
    <x v="2"/>
    <s v="Route C"/>
    <n v="205.57199582694699"/>
    <m/>
    <n v="2.7045337856970253"/>
    <n v="6.4257486683304235E-2"/>
    <n v="8.5984322999180338E-2"/>
    <x v="1"/>
    <n v="2135.115031116246"/>
    <n v="0.89305170063362893"/>
  </r>
  <r>
    <x v="2"/>
    <s v="SKU23"/>
    <n v="4.3243411858641601"/>
    <n v="30"/>
    <n v="391"/>
    <n v="8858.3675710114803"/>
    <x v="1"/>
    <n v="84"/>
    <n v="5"/>
    <n v="29"/>
    <n v="7"/>
    <s v="Carrier A"/>
    <n v="2.92485760114555"/>
    <x v="2"/>
    <s v="Kolkata"/>
    <n v="11"/>
    <n v="568"/>
    <n v="29"/>
    <n v="98.6099572427038"/>
    <s v="Pending"/>
    <n v="1.3422915627227301"/>
    <x v="2"/>
    <s v="Route A"/>
    <n v="196.329446112412"/>
    <m/>
    <n v="22.655671537113761"/>
    <n v="0.17360907965264755"/>
    <n v="2.2163163194411722E-2"/>
    <x v="1"/>
    <n v="8563.4281676563642"/>
    <n v="0.9667049937823432"/>
  </r>
  <r>
    <x v="0"/>
    <s v="SKU24"/>
    <n v="4.1563083593111001"/>
    <n v="32"/>
    <n v="209"/>
    <n v="9049.0778609398894"/>
    <x v="2"/>
    <n v="4"/>
    <n v="26"/>
    <n v="2"/>
    <n v="8"/>
    <s v="Carrier C"/>
    <n v="9.7412916892843597"/>
    <x v="4"/>
    <s v="Bangalore"/>
    <n v="28"/>
    <n v="447"/>
    <n v="3"/>
    <n v="40.382359702924802"/>
    <s v="Pending"/>
    <n v="3.69131029262872"/>
    <x v="1"/>
    <s v="Route A"/>
    <n v="758.72477260293795"/>
    <m/>
    <n v="43.297023258085595"/>
    <n v="9.0340849447259064E-2"/>
    <n v="8.3845534789567217E-2"/>
    <x v="2"/>
    <n v="8249.9707286340272"/>
    <n v="0.91169187130600482"/>
  </r>
  <r>
    <x v="0"/>
    <s v="SKU25"/>
    <n v="39.629343985092603"/>
    <n v="73"/>
    <n v="142"/>
    <n v="2174.7770543506499"/>
    <x v="2"/>
    <n v="82"/>
    <n v="11"/>
    <n v="52"/>
    <n v="3"/>
    <s v="Carrier C"/>
    <n v="2.2310736812817198"/>
    <x v="3"/>
    <s v="Kolkata"/>
    <n v="19"/>
    <n v="934"/>
    <n v="23"/>
    <n v="78.280383118415301"/>
    <s v="Pending"/>
    <n v="3.79723121711418"/>
    <x v="0"/>
    <s v="Route B"/>
    <n v="458.53594573920901"/>
    <m/>
    <n v="15.315331368666548"/>
    <n v="8.3811973360187683E-2"/>
    <n v="0.21084273664829509"/>
    <x v="1"/>
    <n v="1637.9607254930258"/>
    <n v="0.7531625930190311"/>
  </r>
  <r>
    <x v="0"/>
    <s v="SKU26"/>
    <n v="97.446946617892806"/>
    <n v="9"/>
    <n v="353"/>
    <n v="3716.49332589403"/>
    <x v="2"/>
    <n v="59"/>
    <n v="16"/>
    <n v="48"/>
    <n v="4"/>
    <s v="Carrier B"/>
    <n v="6.5075486210785503"/>
    <x v="4"/>
    <s v="Bangalore"/>
    <n v="26"/>
    <n v="171"/>
    <n v="4"/>
    <n v="15.972229757181699"/>
    <s v="Pass"/>
    <n v="2.1193197367249201"/>
    <x v="2"/>
    <s v="Route A"/>
    <n v="617.86691645837698"/>
    <m/>
    <n v="10.528309705082238"/>
    <n v="9.3404852381179529E-2"/>
    <n v="0.16624997336965336"/>
    <x v="0"/>
    <n v="3082.6541796784713"/>
    <n v="0.8294523652714797"/>
  </r>
  <r>
    <x v="2"/>
    <s v="SKU27"/>
    <n v="92.557360812401996"/>
    <n v="42"/>
    <n v="352"/>
    <n v="2686.4572235759802"/>
    <x v="1"/>
    <n v="47"/>
    <n v="9"/>
    <n v="62"/>
    <n v="8"/>
    <s v="Carrier C"/>
    <n v="7.4067509529980704"/>
    <x v="2"/>
    <s v="Mumbai"/>
    <n v="25"/>
    <n v="291"/>
    <n v="4"/>
    <n v="10.5282450700421"/>
    <s v="Fail"/>
    <n v="2.8646678378833701"/>
    <x v="3"/>
    <s v="Route B"/>
    <n v="762.45918215568304"/>
    <m/>
    <n v="7.6319807487953986"/>
    <n v="3.6179536323168726E-2"/>
    <n v="0.28381586554382693"/>
    <x v="0"/>
    <n v="1913.4697963502551"/>
    <n v="0.71226512730517599"/>
  </r>
  <r>
    <x v="2"/>
    <s v="SKU28"/>
    <n v="2.3972747055971402"/>
    <n v="12"/>
    <n v="394"/>
    <n v="6117.3246150839896"/>
    <x v="0"/>
    <n v="48"/>
    <n v="15"/>
    <n v="24"/>
    <n v="4"/>
    <s v="Carrier B"/>
    <n v="9.8981405080692202"/>
    <x v="1"/>
    <s v="Mumbai"/>
    <n v="13"/>
    <n v="171"/>
    <n v="7"/>
    <n v="59.429381810691503"/>
    <s v="Fail"/>
    <n v="0.81575707929567198"/>
    <x v="1"/>
    <s v="Route A"/>
    <n v="123.437027511827"/>
    <m/>
    <n v="15.526204606812156"/>
    <n v="0.34754024450696785"/>
    <n v="2.0178269959298577E-2"/>
    <x v="0"/>
    <n v="5934.4582057614707"/>
    <n v="0.97010679981382542"/>
  </r>
  <r>
    <x v="2"/>
    <s v="SKU29"/>
    <n v="63.447559185207297"/>
    <n v="3"/>
    <n v="253"/>
    <n v="8318.9031946171708"/>
    <x v="0"/>
    <n v="45"/>
    <n v="5"/>
    <n v="67"/>
    <n v="7"/>
    <s v="Carrier B"/>
    <n v="8.1009731453970293"/>
    <x v="1"/>
    <s v="Kolkata"/>
    <n v="16"/>
    <n v="329"/>
    <n v="7"/>
    <n v="39.292875586065698"/>
    <s v="Pass"/>
    <n v="3.8780989365884802"/>
    <x v="0"/>
    <s v="Route B"/>
    <n v="764.93537594070801"/>
    <m/>
    <n v="32.881040294929527"/>
    <n v="0.11943123278439421"/>
    <n v="9.1951469808624176E-2"/>
    <x v="0"/>
    <n v="7514.6749430903983"/>
    <n v="0.90332520613448697"/>
  </r>
  <r>
    <x v="0"/>
    <s v="SKU30"/>
    <n v="8.0228592105263896"/>
    <n v="10"/>
    <n v="327"/>
    <n v="2766.3423668660798"/>
    <x v="2"/>
    <n v="60"/>
    <n v="26"/>
    <n v="35"/>
    <n v="7"/>
    <s v="Carrier B"/>
    <n v="8.9545283153180097"/>
    <x v="3"/>
    <s v="Kolkata"/>
    <n v="27"/>
    <n v="806"/>
    <n v="30"/>
    <n v="51.634893400109299"/>
    <s v="Pending"/>
    <n v="0.96539470535239302"/>
    <x v="0"/>
    <s v="Route C"/>
    <n v="880.08098824716103"/>
    <m/>
    <n v="8.4597625898045248"/>
    <n v="6.4063143176314272E-2"/>
    <n v="0.31813885323391217"/>
    <x v="1"/>
    <n v="1834.6264852188094"/>
    <n v="0.6631957443854688"/>
  </r>
  <r>
    <x v="1"/>
    <s v="SKU31"/>
    <n v="50.847393051718697"/>
    <n v="28"/>
    <n v="168"/>
    <n v="9655.1351027193905"/>
    <x v="2"/>
    <n v="6"/>
    <n v="17"/>
    <n v="44"/>
    <n v="4"/>
    <s v="Carrier B"/>
    <n v="2.6796609649813998"/>
    <x v="0"/>
    <s v="Chennai"/>
    <n v="24"/>
    <n v="461"/>
    <n v="8"/>
    <n v="60.251145661598002"/>
    <s v="Pending"/>
    <n v="2.9890000066550702"/>
    <x v="2"/>
    <s v="Route C"/>
    <n v="609.379206618426"/>
    <m/>
    <n v="57.471042278091609"/>
    <n v="0.13069662833318438"/>
    <n v="6.311451886849237E-2"/>
    <x v="2"/>
    <n v="8985.504750439366"/>
    <n v="0.93064515978741491"/>
  </r>
  <r>
    <x v="1"/>
    <s v="SKU32"/>
    <n v="79.209936015656695"/>
    <n v="43"/>
    <n v="781"/>
    <n v="9571.5504873278096"/>
    <x v="1"/>
    <n v="89"/>
    <n v="13"/>
    <n v="64"/>
    <n v="4"/>
    <s v="Carrier C"/>
    <n v="6.5991049012385803"/>
    <x v="0"/>
    <s v="Kolkata"/>
    <n v="30"/>
    <n v="737"/>
    <n v="7"/>
    <n v="29.6924671537497"/>
    <s v="Pass"/>
    <n v="1.94603611938611"/>
    <x v="0"/>
    <s v="Route A"/>
    <n v="761.17390951487698"/>
    <m/>
    <n v="12.255506385823059"/>
    <n v="4.0288286504409361E-2"/>
    <n v="7.9524619393966323E-2"/>
    <x v="1"/>
    <n v="8780.6841106591837"/>
    <n v="0.91737322205888294"/>
  </r>
  <r>
    <x v="2"/>
    <s v="SKU33"/>
    <n v="64.795435000155607"/>
    <n v="63"/>
    <n v="616"/>
    <n v="5149.9983504080301"/>
    <x v="0"/>
    <n v="4"/>
    <n v="17"/>
    <n v="95"/>
    <n v="9"/>
    <s v="Carrier C"/>
    <n v="4.85827050343664"/>
    <x v="2"/>
    <s v="Chennai"/>
    <n v="1"/>
    <n v="251"/>
    <n v="23"/>
    <n v="23.853427512896101"/>
    <s v="Fail"/>
    <n v="3.54104601225092"/>
    <x v="3"/>
    <s v="Route A"/>
    <n v="371.25529551987103"/>
    <m/>
    <n v="8.3603869324805675"/>
    <n v="9.5033575748590046E-2"/>
    <n v="7.2088429987643934E-2"/>
    <x v="2"/>
    <n v="4754.8896273752634"/>
    <n v="0.92327983503111943"/>
  </r>
  <r>
    <x v="1"/>
    <s v="SKU34"/>
    <n v="37.467592329842397"/>
    <n v="96"/>
    <n v="602"/>
    <n v="9061.7108955077201"/>
    <x v="1"/>
    <n v="1"/>
    <n v="26"/>
    <n v="21"/>
    <n v="7"/>
    <s v="Carrier A"/>
    <n v="1.0194875708221101"/>
    <x v="1"/>
    <s v="Chennai"/>
    <n v="4"/>
    <n v="452"/>
    <n v="10"/>
    <n v="10.754272815029299"/>
    <s v="Pass"/>
    <n v="0.64660455937205397"/>
    <x v="0"/>
    <s v="Route B"/>
    <n v="510.35800043352299"/>
    <m/>
    <n v="15.052675906159003"/>
    <n v="2.3792638971303761E-2"/>
    <n v="5.6320269573655171E-2"/>
    <x v="2"/>
    <n v="8540.5986222591673"/>
    <n v="0.94249294870939981"/>
  </r>
  <r>
    <x v="2"/>
    <s v="SKU35"/>
    <n v="84.957786816350406"/>
    <n v="11"/>
    <n v="449"/>
    <n v="6541.3293448024597"/>
    <x v="0"/>
    <n v="42"/>
    <n v="27"/>
    <n v="85"/>
    <n v="8"/>
    <s v="Carrier C"/>
    <n v="5.2881899903273997"/>
    <x v="1"/>
    <s v="Delhi"/>
    <n v="3"/>
    <n v="367"/>
    <n v="2"/>
    <n v="58.004787044743701"/>
    <s v="Pass"/>
    <n v="0.54115409806058101"/>
    <x v="3"/>
    <s v="Route C"/>
    <n v="553.42047123035502"/>
    <m/>
    <n v="14.568662237867393"/>
    <n v="0.15805119085761227"/>
    <n v="8.4603670302900433E-2"/>
    <x v="0"/>
    <n v="5929.904086527361"/>
    <n v="0.90652889863114472"/>
  </r>
  <r>
    <x v="1"/>
    <s v="SKU36"/>
    <n v="9.81300257875405"/>
    <n v="34"/>
    <n v="963"/>
    <n v="7573.4024578487297"/>
    <x v="0"/>
    <n v="18"/>
    <n v="23"/>
    <n v="28"/>
    <n v="3"/>
    <s v="Carrier B"/>
    <n v="2.1079512671590801"/>
    <x v="4"/>
    <s v="Delhi"/>
    <n v="26"/>
    <n v="671"/>
    <n v="19"/>
    <n v="45.531364237162101"/>
    <s v="Fail"/>
    <n v="3.8055333792433501"/>
    <x v="1"/>
    <s v="Route C"/>
    <n v="403.80897424817999"/>
    <m/>
    <n v="7.8643846914317024"/>
    <n v="6.7855982469690171E-2"/>
    <n v="5.3319360286959362E-2"/>
    <x v="2"/>
    <n v="7124.0621193633879"/>
    <n v="0.94066863064702633"/>
  </r>
  <r>
    <x v="1"/>
    <s v="SKU37"/>
    <n v="23.3998447526143"/>
    <n v="5"/>
    <n v="963"/>
    <n v="2438.3399304700201"/>
    <x v="0"/>
    <n v="25"/>
    <n v="8"/>
    <n v="21"/>
    <n v="9"/>
    <s v="Carrier A"/>
    <n v="1.53265527359043"/>
    <x v="0"/>
    <s v="Kolkata"/>
    <n v="24"/>
    <n v="867"/>
    <n v="15"/>
    <n v="34.343277465075303"/>
    <s v="Pending"/>
    <n v="2.61028808484811"/>
    <x v="3"/>
    <s v="Route A"/>
    <n v="183.932968043594"/>
    <m/>
    <n v="2.5320248499169473"/>
    <n v="3.9611623373789276E-2"/>
    <n v="7.543368574050241E-2"/>
    <x v="0"/>
    <n v="2220.0636849613506"/>
    <n v="0.9104816179315105"/>
  </r>
  <r>
    <x v="2"/>
    <s v="SKU38"/>
    <n v="52.075930682707799"/>
    <n v="75"/>
    <n v="705"/>
    <n v="9692.3180402184298"/>
    <x v="2"/>
    <n v="69"/>
    <n v="1"/>
    <n v="88"/>
    <n v="5"/>
    <s v="Carrier B"/>
    <n v="9.2359314372492207"/>
    <x v="2"/>
    <s v="Mumbai"/>
    <n v="10"/>
    <n v="841"/>
    <n v="12"/>
    <n v="5.9306936455283097"/>
    <s v="Pending"/>
    <n v="0.613326899164507"/>
    <x v="1"/>
    <s v="Route B"/>
    <n v="339.67286994860598"/>
    <m/>
    <n v="13.74796885137366"/>
    <n v="7.051954394207265E-3"/>
    <n v="3.5045576150011581E-2"/>
    <x v="1"/>
    <n v="9346.7144766242945"/>
    <n v="0.96434252753984673"/>
  </r>
  <r>
    <x v="1"/>
    <s v="SKU39"/>
    <n v="19.127477265823199"/>
    <n v="26"/>
    <n v="176"/>
    <n v="1912.4656631007599"/>
    <x v="0"/>
    <n v="78"/>
    <n v="29"/>
    <n v="34"/>
    <n v="3"/>
    <s v="Carrier A"/>
    <n v="5.5625037788303802"/>
    <x v="4"/>
    <s v="Kolkata"/>
    <n v="30"/>
    <n v="791"/>
    <n v="6"/>
    <n v="9.0058074287816403"/>
    <s v="Fail"/>
    <n v="1.4519722039968099"/>
    <x v="1"/>
    <s v="Route B"/>
    <n v="653.67299455203295"/>
    <m/>
    <n v="10.866282176708863"/>
    <n v="1.1385344410596259E-2"/>
    <n v="0.34179593765474764"/>
    <x v="1"/>
    <n v="1249.7868611199451"/>
    <n v="0.65349505888310377"/>
  </r>
  <r>
    <x v="1"/>
    <s v="SKU40"/>
    <n v="80.541424170940303"/>
    <n v="97"/>
    <n v="933"/>
    <n v="5724.9593504562599"/>
    <x v="0"/>
    <n v="90"/>
    <n v="20"/>
    <n v="39"/>
    <n v="8"/>
    <s v="Carrier C"/>
    <n v="7.2295951397364702"/>
    <x v="1"/>
    <s v="Kolkata"/>
    <n v="18"/>
    <n v="793"/>
    <n v="1"/>
    <n v="88.179407104217404"/>
    <s v="Pending"/>
    <n v="4.2132694305865597"/>
    <x v="0"/>
    <s v="Route A"/>
    <n v="529.80872398069096"/>
    <m/>
    <n v="6.1360764742296459"/>
    <n v="0.11119723468375461"/>
    <n v="9.2543665648642026E-2"/>
    <x v="1"/>
    <n v="5106.9712193713513"/>
    <n v="0.89205370846246146"/>
  </r>
  <r>
    <x v="1"/>
    <s v="SKU41"/>
    <n v="99.113291615317095"/>
    <n v="35"/>
    <n v="556"/>
    <n v="5521.2052590109697"/>
    <x v="0"/>
    <n v="64"/>
    <n v="19"/>
    <n v="38"/>
    <n v="8"/>
    <s v="Carrier B"/>
    <n v="5.7732637437666501"/>
    <x v="3"/>
    <s v="Chennai"/>
    <n v="18"/>
    <n v="892"/>
    <n v="7"/>
    <n v="95.332064548772493"/>
    <s v="Fail"/>
    <n v="4.5302262398259602E-2"/>
    <x v="3"/>
    <s v="Route A"/>
    <n v="275.52437113130901"/>
    <m/>
    <n v="9.9302252859909519"/>
    <n v="0.10687451182597812"/>
    <n v="4.9902939341303264E-2"/>
    <x v="1"/>
    <n v="5150.3488233308881"/>
    <n v="0.93283052915397058"/>
  </r>
  <r>
    <x v="1"/>
    <s v="SKU42"/>
    <n v="46.529167614516702"/>
    <n v="98"/>
    <n v="155"/>
    <n v="1839.60942585676"/>
    <x v="0"/>
    <n v="22"/>
    <n v="27"/>
    <n v="57"/>
    <n v="4"/>
    <s v="Carrier C"/>
    <n v="7.5262483268515004"/>
    <x v="2"/>
    <s v="Bangalore"/>
    <n v="26"/>
    <n v="179"/>
    <n v="7"/>
    <n v="96.422820639571796"/>
    <s v="Fail"/>
    <n v="4.9392552886209398"/>
    <x v="0"/>
    <s v="Route A"/>
    <n v="635.65712050199102"/>
    <m/>
    <n v="11.868447908753291"/>
    <n v="0.53867497564006595"/>
    <n v="0.34553917346120733"/>
    <x v="2"/>
    <n v="1107.5294847151972"/>
    <n v="0.60204599364856393"/>
  </r>
  <r>
    <x v="0"/>
    <s v="SKU43"/>
    <n v="11.7432717763092"/>
    <n v="6"/>
    <n v="598"/>
    <n v="5737.4255991190203"/>
    <x v="1"/>
    <n v="36"/>
    <n v="29"/>
    <n v="85"/>
    <n v="9"/>
    <s v="Carrier B"/>
    <n v="3.6940212683884499"/>
    <x v="2"/>
    <s v="Mumbai"/>
    <n v="1"/>
    <n v="206"/>
    <n v="23"/>
    <n v="26.2773659573324"/>
    <s v="Pending"/>
    <n v="0.37230476798509698"/>
    <x v="1"/>
    <s v="Route A"/>
    <n v="716.04411975933999"/>
    <m/>
    <n v="9.5943571891622419"/>
    <n v="0.12756002891908932"/>
    <n v="0.12480233641187231"/>
    <x v="0"/>
    <n v="4995.104113402348"/>
    <n v="0.87061767113273669"/>
  </r>
  <r>
    <x v="2"/>
    <s v="SKU44"/>
    <n v="51.355790913110297"/>
    <n v="34"/>
    <n v="919"/>
    <n v="7152.28604943551"/>
    <x v="0"/>
    <n v="13"/>
    <n v="19"/>
    <n v="72"/>
    <n v="6"/>
    <s v="Carrier C"/>
    <n v="7.5774496573766896"/>
    <x v="4"/>
    <s v="Delhi"/>
    <n v="7"/>
    <n v="834"/>
    <n v="18"/>
    <n v="22.554106620887701"/>
    <s v="Fail"/>
    <n v="2.9626263204548802"/>
    <x v="2"/>
    <s v="Route A"/>
    <n v="610.45326961922694"/>
    <m/>
    <n v="7.7826834052617082"/>
    <n v="2.7043293310416907E-2"/>
    <n v="8.5350790698228096E-2"/>
    <x v="2"/>
    <n v="6519.2786731953947"/>
    <n v="0.91149579702701133"/>
  </r>
  <r>
    <x v="0"/>
    <s v="SKU45"/>
    <n v="33.784138033065503"/>
    <n v="1"/>
    <n v="24"/>
    <n v="5267.9568075105199"/>
    <x v="2"/>
    <n v="93"/>
    <n v="7"/>
    <n v="52"/>
    <n v="6"/>
    <s v="Carrier B"/>
    <n v="5.2151550087119096"/>
    <x v="4"/>
    <s v="Chennai"/>
    <n v="25"/>
    <n v="794"/>
    <n v="25"/>
    <n v="66.312544439991598"/>
    <s v="Pass"/>
    <n v="3.2196046120841002"/>
    <x v="2"/>
    <s v="Route A"/>
    <n v="495.30569702847299"/>
    <m/>
    <n v="219.49820031293834"/>
    <n v="8.35170584886544E-2"/>
    <n v="9.4022353471523573E-2"/>
    <x v="1"/>
    <n v="4706.3385660420545"/>
    <n v="0.89338974065471322"/>
  </r>
  <r>
    <x v="0"/>
    <s v="SKU46"/>
    <n v="27.082207199888899"/>
    <n v="75"/>
    <n v="859"/>
    <n v="2556.7673606335902"/>
    <x v="0"/>
    <n v="92"/>
    <n v="29"/>
    <n v="6"/>
    <n v="8"/>
    <s v="Carrier B"/>
    <n v="4.0709558370840799"/>
    <x v="0"/>
    <s v="Chennai"/>
    <n v="18"/>
    <n v="870"/>
    <n v="23"/>
    <n v="77.322353211051606"/>
    <s v="Pending"/>
    <n v="3.6486105925361998"/>
    <x v="0"/>
    <s v="Route B"/>
    <n v="380.43593711196399"/>
    <m/>
    <n v="2.9764462871171014"/>
    <n v="8.8876268058680014E-2"/>
    <n v="0.14879567964200252"/>
    <x v="1"/>
    <n v="2099.0090703105748"/>
    <n v="0.82096208776320623"/>
  </r>
  <r>
    <x v="1"/>
    <s v="SKU47"/>
    <n v="95.712135880936003"/>
    <n v="93"/>
    <n v="910"/>
    <n v="7089.4742499341801"/>
    <x v="2"/>
    <n v="4"/>
    <n v="15"/>
    <n v="51"/>
    <n v="9"/>
    <s v="Carrier B"/>
    <n v="8.9787507559499709"/>
    <x v="1"/>
    <s v="Kolkata"/>
    <n v="10"/>
    <n v="964"/>
    <n v="20"/>
    <n v="19.7129929112936"/>
    <s v="Pending"/>
    <n v="0.38057358671321301"/>
    <x v="2"/>
    <s v="Route A"/>
    <n v="581.60235505058597"/>
    <m/>
    <n v="7.7906310438837147"/>
    <n v="2.0449162771051452E-2"/>
    <n v="8.2037445168234538E-2"/>
    <x v="0"/>
    <n v="6488.1589019723006"/>
    <n v="0.91518195471723984"/>
  </r>
  <r>
    <x v="0"/>
    <s v="SKU48"/>
    <n v="76.035544426891704"/>
    <n v="28"/>
    <n v="29"/>
    <n v="7397.0710045871801"/>
    <x v="2"/>
    <n v="30"/>
    <n v="16"/>
    <n v="9"/>
    <n v="3"/>
    <s v="Carrier C"/>
    <n v="7.0958331565551296"/>
    <x v="4"/>
    <s v="Mumbai"/>
    <n v="9"/>
    <n v="109"/>
    <n v="18"/>
    <n v="23.126363582464698"/>
    <s v="Fail"/>
    <n v="1.6981125407144"/>
    <x v="2"/>
    <s v="Route B"/>
    <n v="768.65191395437"/>
    <m/>
    <n v="255.07141395128207"/>
    <n v="0.21216847323362109"/>
    <n v="0.10391301009246799"/>
    <x v="0"/>
    <n v="6605.292727050346"/>
    <n v="0.89296056817004665"/>
  </r>
  <r>
    <x v="2"/>
    <s v="SKU49"/>
    <n v="78.897913205639995"/>
    <n v="19"/>
    <n v="99"/>
    <n v="8001.6132065190004"/>
    <x v="1"/>
    <n v="97"/>
    <n v="24"/>
    <n v="9"/>
    <n v="6"/>
    <s v="Carrier C"/>
    <n v="2.5056210329009101"/>
    <x v="2"/>
    <s v="Delhi"/>
    <n v="28"/>
    <n v="177"/>
    <n v="28"/>
    <n v="14.1478154439792"/>
    <s v="Pass"/>
    <n v="2.8258139854001301"/>
    <x v="2"/>
    <s v="Route A"/>
    <n v="336.89016851997701"/>
    <m/>
    <n v="80.824375823424248"/>
    <n v="7.9931160700447451E-2"/>
    <n v="4.2102781004898983E-2"/>
    <x v="1"/>
    <n v="7650.5752225550441"/>
    <n v="0.9561290986075206"/>
  </r>
  <r>
    <x v="2"/>
    <s v="SKU50"/>
    <n v="14.203484264803"/>
    <n v="91"/>
    <n v="633"/>
    <n v="5910.8853896688897"/>
    <x v="0"/>
    <n v="31"/>
    <n v="23"/>
    <n v="82"/>
    <n v="10"/>
    <s v="Carrier A"/>
    <n v="6.2478609149759903"/>
    <x v="4"/>
    <s v="Delhi"/>
    <n v="20"/>
    <n v="306"/>
    <n v="21"/>
    <n v="45.178757924634503"/>
    <s v="Fail"/>
    <n v="4.7548008046711798"/>
    <x v="2"/>
    <s v="Route B"/>
    <n v="496.24865029194001"/>
    <m/>
    <n v="9.3378916108513259"/>
    <n v="0.14764299975370754"/>
    <n v="8.3955045238956735E-2"/>
    <x v="0"/>
    <n v="5369.4579814523149"/>
    <n v="0.90840163993656731"/>
  </r>
  <r>
    <x v="0"/>
    <s v="SKU51"/>
    <n v="26.700760972461701"/>
    <n v="61"/>
    <n v="154"/>
    <n v="9866.4654579796897"/>
    <x v="2"/>
    <n v="100"/>
    <n v="4"/>
    <n v="52"/>
    <n v="1"/>
    <s v="Carrier A"/>
    <n v="4.78300055794766"/>
    <x v="2"/>
    <s v="Bangalore"/>
    <n v="18"/>
    <n v="673"/>
    <n v="28"/>
    <n v="14.190328344569901"/>
    <s v="Pending"/>
    <n v="1.77295117208355"/>
    <x v="0"/>
    <s v="Route A"/>
    <n v="694.98231757944495"/>
    <m/>
    <n v="64.067957519348639"/>
    <n v="2.1085183275735365E-2"/>
    <n v="7.0438833495065342E-2"/>
    <x v="1"/>
    <n v="9157.2928120556753"/>
    <n v="0.92812292822142728"/>
  </r>
  <r>
    <x v="1"/>
    <s v="SKU52"/>
    <n v="98.031829656465007"/>
    <n v="1"/>
    <n v="820"/>
    <n v="9435.7626089121295"/>
    <x v="2"/>
    <n v="64"/>
    <n v="11"/>
    <n v="11"/>
    <n v="1"/>
    <s v="Carrier B"/>
    <n v="8.6310521797689397"/>
    <x v="1"/>
    <s v="Mumbai"/>
    <n v="10"/>
    <n v="727"/>
    <n v="27"/>
    <n v="9.1668491485971497"/>
    <s v="Pending"/>
    <n v="2.1224716191438202"/>
    <x v="1"/>
    <s v="Route C"/>
    <n v="602.89849883838303"/>
    <m/>
    <n v="11.507027571844061"/>
    <n v="1.2609146009074484E-2"/>
    <n v="6.3895047366806595E-2"/>
    <x v="1"/>
    <n v="8823.6972609251479"/>
    <n v="0.93513345202126186"/>
  </r>
  <r>
    <x v="1"/>
    <s v="SKU53"/>
    <n v="30.3414707112142"/>
    <n v="93"/>
    <n v="242"/>
    <n v="8232.3348294258194"/>
    <x v="2"/>
    <n v="96"/>
    <n v="25"/>
    <n v="54"/>
    <n v="3"/>
    <s v="Carrier B"/>
    <n v="1.0134865660958901"/>
    <x v="1"/>
    <s v="Delhi"/>
    <n v="1"/>
    <n v="631"/>
    <n v="17"/>
    <n v="83.344058991677898"/>
    <s v="Pending"/>
    <n v="1.41034757607602"/>
    <x v="1"/>
    <s v="Route B"/>
    <n v="750.73784066827"/>
    <m/>
    <n v="34.017912518288512"/>
    <n v="0.13208250236399033"/>
    <n v="9.1193793282656324E-2"/>
    <x v="1"/>
    <n v="7398.2529297658712"/>
    <n v="0.89868221872140219"/>
  </r>
  <r>
    <x v="0"/>
    <s v="SKU54"/>
    <n v="31.1462431602408"/>
    <n v="11"/>
    <n v="622"/>
    <n v="6088.0214799408504"/>
    <x v="0"/>
    <n v="33"/>
    <n v="22"/>
    <n v="61"/>
    <n v="3"/>
    <s v="Carrier B"/>
    <n v="4.3051034712876302"/>
    <x v="1"/>
    <s v="Kolkata"/>
    <n v="26"/>
    <n v="497"/>
    <n v="29"/>
    <n v="30.186023375822501"/>
    <s v="Pass"/>
    <n v="2.4787719755397402"/>
    <x v="0"/>
    <s v="Route B"/>
    <n v="814.06999658218695"/>
    <m/>
    <n v="9.7878158841492766"/>
    <n v="6.0736465544914485E-2"/>
    <n v="0.13371667614255794"/>
    <x v="0"/>
    <n v="5243.7654599828411"/>
    <n v="0.86132505893093336"/>
  </r>
  <r>
    <x v="0"/>
    <s v="SKU55"/>
    <n v="79.855058340789398"/>
    <n v="16"/>
    <n v="701"/>
    <n v="2925.6751703038099"/>
    <x v="2"/>
    <n v="97"/>
    <n v="11"/>
    <n v="11"/>
    <n v="5"/>
    <s v="Carrier A"/>
    <n v="5.0143649550309002"/>
    <x v="4"/>
    <s v="Delhi"/>
    <n v="27"/>
    <n v="918"/>
    <n v="5"/>
    <n v="30.323545256616502"/>
    <s v="Fail"/>
    <n v="4.5489196593963799"/>
    <x v="3"/>
    <s v="Route B"/>
    <n v="323.01292795247798"/>
    <m/>
    <n v="4.1735737094205563"/>
    <n v="3.3032184375399239E-2"/>
    <n v="0.11040628543835762"/>
    <x v="1"/>
    <n v="2572.3386970947154"/>
    <n v="0.87922908298380809"/>
  </r>
  <r>
    <x v="1"/>
    <s v="SKU56"/>
    <n v="20.9863860370433"/>
    <n v="90"/>
    <n v="93"/>
    <n v="4767.0204843441297"/>
    <x v="2"/>
    <n v="25"/>
    <n v="23"/>
    <n v="83"/>
    <n v="5"/>
    <s v="Carrier C"/>
    <n v="1.77442971407173"/>
    <x v="1"/>
    <s v="Mumbai"/>
    <n v="24"/>
    <n v="826"/>
    <n v="28"/>
    <n v="12.8362845728327"/>
    <s v="Pass"/>
    <n v="1.1737554953874501"/>
    <x v="1"/>
    <s v="Route B"/>
    <n v="832.210808706021"/>
    <m/>
    <n v="51.25828477789387"/>
    <n v="1.5540296093017795E-2"/>
    <n v="0.17457672175715869"/>
    <x v="2"/>
    <n v="3921.9733910652762"/>
    <n v="0.82273055128372929"/>
  </r>
  <r>
    <x v="0"/>
    <s v="SKU57"/>
    <n v="49.263205350734097"/>
    <n v="65"/>
    <n v="227"/>
    <n v="1605.8669003924001"/>
    <x v="1"/>
    <n v="5"/>
    <n v="18"/>
    <n v="51"/>
    <n v="1"/>
    <s v="Carrier B"/>
    <n v="9.1605585353818704"/>
    <x v="4"/>
    <s v="Delhi"/>
    <n v="21"/>
    <n v="588"/>
    <n v="25"/>
    <n v="67.779622987078099"/>
    <s v="Pending"/>
    <n v="2.5111748302126999"/>
    <x v="2"/>
    <s v="Route A"/>
    <n v="482.19123860252802"/>
    <m/>
    <n v="7.0743035259577098"/>
    <n v="0.11527146766509881"/>
    <n v="0.30026849577925957"/>
    <x v="2"/>
    <n v="1055.896038802794"/>
    <n v="0.65752400684314594"/>
  </r>
  <r>
    <x v="1"/>
    <s v="SKU58"/>
    <n v="59.841561377289302"/>
    <n v="81"/>
    <n v="896"/>
    <n v="2021.1498103371"/>
    <x v="0"/>
    <n v="10"/>
    <n v="5"/>
    <n v="44"/>
    <n v="7"/>
    <s v="Carrier A"/>
    <n v="4.9384385647120901"/>
    <x v="0"/>
    <s v="Delhi"/>
    <n v="18"/>
    <n v="396"/>
    <n v="7"/>
    <n v="65.047415094691402"/>
    <s v="Fail"/>
    <n v="1.7303747198591899"/>
    <x v="0"/>
    <s v="Route B"/>
    <n v="110.364335231364"/>
    <m/>
    <n v="2.2557475561797991"/>
    <n v="0.16426114922901869"/>
    <n v="5.4604727797469277E-2"/>
    <x v="0"/>
    <n v="1845.7380600110446"/>
    <n v="0.91321190075623382"/>
  </r>
  <r>
    <x v="2"/>
    <s v="SKU59"/>
    <n v="63.828398347710902"/>
    <n v="30"/>
    <n v="484"/>
    <n v="1061.6185230132801"/>
    <x v="2"/>
    <n v="100"/>
    <n v="16"/>
    <n v="26"/>
    <n v="7"/>
    <s v="Carrier B"/>
    <n v="7.2937225968677204"/>
    <x v="1"/>
    <s v="Kolkata"/>
    <n v="11"/>
    <n v="176"/>
    <n v="4"/>
    <n v="1.90076224351945"/>
    <s v="Fail"/>
    <n v="0.44719401546382298"/>
    <x v="1"/>
    <s v="Route A"/>
    <n v="312.57427361009297"/>
    <m/>
    <n v="2.1934267004406611"/>
    <n v="1.079978547454233E-2"/>
    <n v="0.29443181974904453"/>
    <x v="1"/>
    <n v="747.14348715966764"/>
    <n v="0.70377774215825495"/>
  </r>
  <r>
    <x v="1"/>
    <s v="SKU60"/>
    <n v="17.028027920188698"/>
    <n v="16"/>
    <n v="380"/>
    <n v="8864.0843495864301"/>
    <x v="0"/>
    <n v="41"/>
    <n v="27"/>
    <n v="72"/>
    <n v="8"/>
    <s v="Carrier C"/>
    <n v="4.3813681581023101"/>
    <x v="3"/>
    <s v="Mumbai"/>
    <n v="29"/>
    <n v="929"/>
    <n v="24"/>
    <n v="87.213057815135599"/>
    <s v="Fail"/>
    <n v="2.8530906166490499"/>
    <x v="2"/>
    <s v="Route A"/>
    <n v="430.16909697513597"/>
    <m/>
    <n v="23.326537762069552"/>
    <n v="9.3878426065807971E-2"/>
    <n v="4.8529445344820787E-2"/>
    <x v="0"/>
    <n v="8346.7021947961584"/>
    <n v="0.94163163002680461"/>
  </r>
  <r>
    <x v="0"/>
    <s v="SKU61"/>
    <n v="52.028749903294901"/>
    <n v="23"/>
    <n v="117"/>
    <n v="6885.5893508962499"/>
    <x v="1"/>
    <n v="32"/>
    <n v="23"/>
    <n v="36"/>
    <n v="7"/>
    <s v="Carrier C"/>
    <n v="9.0303404225219399"/>
    <x v="3"/>
    <s v="Kolkata"/>
    <n v="14"/>
    <n v="480"/>
    <n v="12"/>
    <n v="78.702393968878894"/>
    <s v="Fail"/>
    <n v="4.3674705382050503"/>
    <x v="1"/>
    <s v="Route A"/>
    <n v="164.366528243419"/>
    <m/>
    <n v="58.851191033301284"/>
    <n v="0.16396332076849771"/>
    <n v="2.3871090747232048E-2"/>
    <x v="0"/>
    <n v="6642.5204286839526"/>
    <n v="0.96469889361312855"/>
  </r>
  <r>
    <x v="2"/>
    <s v="SKU62"/>
    <n v="72.796353955587307"/>
    <n v="89"/>
    <n v="270"/>
    <n v="3899.7468337292198"/>
    <x v="1"/>
    <n v="86"/>
    <n v="2"/>
    <n v="40"/>
    <n v="7"/>
    <s v="Carrier C"/>
    <n v="7.2917013887767697"/>
    <x v="4"/>
    <s v="Mumbai"/>
    <n v="13"/>
    <n v="751"/>
    <n v="14"/>
    <n v="21.048642725168602"/>
    <s v="Pass"/>
    <n v="1.87400140404437"/>
    <x v="3"/>
    <s v="Route C"/>
    <n v="320.84651575911101"/>
    <m/>
    <n v="14.443506791589703"/>
    <n v="2.8027486984245807E-2"/>
    <n v="8.2273678122919164E-2"/>
    <x v="1"/>
    <n v="3557.8516752449405"/>
    <n v="0.91232888362721365"/>
  </r>
  <r>
    <x v="1"/>
    <s v="SKU63"/>
    <n v="13.0173767852878"/>
    <n v="55"/>
    <n v="246"/>
    <n v="4256.9491408502199"/>
    <x v="0"/>
    <n v="54"/>
    <n v="19"/>
    <n v="10"/>
    <n v="4"/>
    <s v="Carrier A"/>
    <n v="2.45793352798733"/>
    <x v="0"/>
    <s v="Bangalore"/>
    <n v="18"/>
    <n v="736"/>
    <n v="10"/>
    <n v="20.075003975630398"/>
    <s v="Pending"/>
    <n v="3.6328432903821302"/>
    <x v="3"/>
    <s v="Route A"/>
    <n v="687.28617786641701"/>
    <m/>
    <n v="17.304671304269188"/>
    <n v="2.727582061906304E-2"/>
    <n v="0.16145040852640974"/>
    <x v="0"/>
    <n v="3549.5879590081727"/>
    <n v="0.83383377192503427"/>
  </r>
  <r>
    <x v="1"/>
    <s v="SKU64"/>
    <n v="89.634095608135297"/>
    <n v="11"/>
    <n v="134"/>
    <n v="8458.7308783671706"/>
    <x v="0"/>
    <n v="73"/>
    <n v="27"/>
    <n v="75"/>
    <n v="6"/>
    <s v="Carrier C"/>
    <n v="4.5853534681946497"/>
    <x v="1"/>
    <s v="Delhi"/>
    <n v="17"/>
    <n v="328"/>
    <n v="6"/>
    <n v="8.6930424258772803"/>
    <s v="Fail"/>
    <n v="0.15948631471751401"/>
    <x v="1"/>
    <s v="Route C"/>
    <n v="771.225084681157"/>
    <m/>
    <n v="63.124857301247545"/>
    <n v="2.6503178127674634E-2"/>
    <n v="9.1175035093447765E-2"/>
    <x v="1"/>
    <n v="7678.8127512601368"/>
    <n v="0.90779726435065577"/>
  </r>
  <r>
    <x v="1"/>
    <s v="SKU65"/>
    <n v="33.697717206643098"/>
    <n v="72"/>
    <n v="457"/>
    <n v="8354.5796864819895"/>
    <x v="2"/>
    <n v="57"/>
    <n v="24"/>
    <n v="54"/>
    <n v="8"/>
    <s v="Carrier C"/>
    <n v="6.5805413478845898"/>
    <x v="2"/>
    <s v="Kolkata"/>
    <n v="16"/>
    <n v="358"/>
    <n v="21"/>
    <n v="1.59722274305067"/>
    <s v="Fail"/>
    <n v="4.9110959548423301"/>
    <x v="2"/>
    <s v="Route C"/>
    <n v="555.85910367174301"/>
    <m/>
    <n v="18.281355987925579"/>
    <n v="4.4615160420409779E-3"/>
    <n v="6.6533461230987245E-2"/>
    <x v="0"/>
    <n v="7797.1233600671967"/>
    <n v="0.93327535946341178"/>
  </r>
  <r>
    <x v="1"/>
    <s v="SKU66"/>
    <n v="26.034869773962001"/>
    <n v="52"/>
    <n v="704"/>
    <n v="8367.7216180201503"/>
    <x v="0"/>
    <n v="13"/>
    <n v="17"/>
    <n v="19"/>
    <n v="8"/>
    <s v="Carrier A"/>
    <n v="2.2161427287713602"/>
    <x v="2"/>
    <s v="Kolkata"/>
    <n v="24"/>
    <n v="867"/>
    <n v="28"/>
    <n v="42.084436738309897"/>
    <s v="Fail"/>
    <n v="3.44806328834026"/>
    <x v="0"/>
    <s v="Route A"/>
    <n v="393.84334857842703"/>
    <m/>
    <n v="11.885968207414987"/>
    <n v="4.8540296122618107E-2"/>
    <n v="4.7066975522975459E-2"/>
    <x v="2"/>
    <n v="7931.7938327034126"/>
    <n v="0.94790364627117207"/>
  </r>
  <r>
    <x v="1"/>
    <s v="SKU67"/>
    <n v="87.755432354001002"/>
    <n v="16"/>
    <n v="513"/>
    <n v="9473.7980325083299"/>
    <x v="1"/>
    <n v="12"/>
    <n v="9"/>
    <n v="71"/>
    <n v="9"/>
    <s v="Carrier C"/>
    <n v="9.1478115447106294"/>
    <x v="1"/>
    <s v="Mumbai"/>
    <n v="10"/>
    <n v="198"/>
    <n v="11"/>
    <n v="7.0578761469782298"/>
    <s v="Pass"/>
    <n v="0.131955444311814"/>
    <x v="3"/>
    <s v="Route C"/>
    <n v="169.27180138478599"/>
    <m/>
    <n v="18.467442558495769"/>
    <n v="3.5645839126152677E-2"/>
    <n v="1.7867364366851372E-2"/>
    <x v="0"/>
    <n v="9297.468354976565"/>
    <n v="0.9813876465461151"/>
  </r>
  <r>
    <x v="0"/>
    <s v="SKU68"/>
    <n v="37.931812382790298"/>
    <n v="29"/>
    <n v="163"/>
    <n v="3550.21843278099"/>
    <x v="2"/>
    <n v="0"/>
    <n v="8"/>
    <n v="58"/>
    <n v="8"/>
    <s v="Carrier B"/>
    <n v="1.19425186488499"/>
    <x v="4"/>
    <s v="Bangalore"/>
    <n v="2"/>
    <n v="375"/>
    <n v="18"/>
    <n v="97.113581563462205"/>
    <s v="Fail"/>
    <n v="1.9834678721741801"/>
    <x v="2"/>
    <s v="Route A"/>
    <n v="299.70630311810299"/>
    <m/>
    <n v="21.780481182705461"/>
    <n v="0.25896955083589923"/>
    <n v="8.4419116398799801E-2"/>
    <x v="0"/>
    <n v="3153.3985480994252"/>
    <n v="0.88822662824982168"/>
  </r>
  <r>
    <x v="1"/>
    <s v="SKU69"/>
    <n v="54.865528517069698"/>
    <n v="62"/>
    <n v="511"/>
    <n v="1752.3810874841199"/>
    <x v="0"/>
    <n v="95"/>
    <n v="1"/>
    <n v="27"/>
    <n v="3"/>
    <s v="Carrier B"/>
    <n v="9.7052867901203399"/>
    <x v="3"/>
    <s v="Kolkata"/>
    <n v="9"/>
    <n v="862"/>
    <n v="7"/>
    <n v="77.627765812748095"/>
    <s v="Pending"/>
    <n v="1.3623879886490999"/>
    <x v="1"/>
    <s v="Route A"/>
    <n v="207.66320620857499"/>
    <m/>
    <n v="3.4293171966421134"/>
    <n v="9.0055412775809848E-2"/>
    <n v="0.11850345092842532"/>
    <x v="1"/>
    <n v="1467.0901154627968"/>
    <n v="0.83719809916979127"/>
  </r>
  <r>
    <x v="0"/>
    <s v="SKU70"/>
    <n v="47.914541824058702"/>
    <n v="90"/>
    <n v="32"/>
    <n v="7014.8879872033804"/>
    <x v="0"/>
    <n v="10"/>
    <n v="12"/>
    <n v="22"/>
    <n v="4"/>
    <s v="Carrier B"/>
    <n v="6.3157177546007199"/>
    <x v="1"/>
    <s v="Bangalore"/>
    <n v="22"/>
    <n v="775"/>
    <n v="16"/>
    <n v="11.440781823761199"/>
    <s v="Pass"/>
    <n v="1.8305755986122301"/>
    <x v="0"/>
    <s v="Route C"/>
    <n v="183.27289874871099"/>
    <m/>
    <n v="219.21524960010564"/>
    <n v="1.4762299127433806E-2"/>
    <n v="2.6126275869698703E-2"/>
    <x v="0"/>
    <n v="6820.1743066309082"/>
    <n v="0.97224279547618286"/>
  </r>
  <r>
    <x v="2"/>
    <s v="SKU71"/>
    <n v="6.3815331627479601"/>
    <n v="14"/>
    <n v="637"/>
    <n v="8180.3370854254399"/>
    <x v="0"/>
    <n v="76"/>
    <n v="2"/>
    <n v="26"/>
    <n v="6"/>
    <s v="Carrier A"/>
    <n v="9.2281903170525101"/>
    <x v="4"/>
    <s v="Bangalore"/>
    <n v="2"/>
    <n v="258"/>
    <n v="10"/>
    <n v="30.661677477859499"/>
    <s v="Pending"/>
    <n v="2.07875060787496"/>
    <x v="0"/>
    <s v="Route A"/>
    <n v="405.167067888855"/>
    <m/>
    <n v="12.841973446507755"/>
    <n v="0.11884371115449419"/>
    <n v="4.9529385361237008E-2"/>
    <x v="1"/>
    <n v="7744.5083400587255"/>
    <n v="0.94672239776729838"/>
  </r>
  <r>
    <x v="2"/>
    <s v="SKU72"/>
    <n v="90.204427520528"/>
    <n v="88"/>
    <n v="478"/>
    <n v="2633.1219813122498"/>
    <x v="2"/>
    <n v="57"/>
    <n v="29"/>
    <n v="77"/>
    <n v="9"/>
    <s v="Carrier A"/>
    <n v="6.5996141596895397"/>
    <x v="1"/>
    <s v="Bangalore"/>
    <n v="21"/>
    <n v="152"/>
    <n v="11"/>
    <n v="55.760492895244198"/>
    <s v="Pending"/>
    <n v="3.2133296074383"/>
    <x v="2"/>
    <s v="Route B"/>
    <n v="677.94456984618296"/>
    <m/>
    <n v="5.5086233918666316"/>
    <n v="0.3668453479950276"/>
    <n v="0.25746796945135092"/>
    <x v="0"/>
    <n v="1899.4169185708226"/>
    <n v="0.72135546019186858"/>
  </r>
  <r>
    <x v="2"/>
    <s v="SKU73"/>
    <n v="83.851017681304597"/>
    <n v="41"/>
    <n v="375"/>
    <n v="7910.8869161406801"/>
    <x v="2"/>
    <n v="17"/>
    <n v="25"/>
    <n v="66"/>
    <n v="5"/>
    <s v="Carrier B"/>
    <n v="1.5129368369160701"/>
    <x v="3"/>
    <s v="Chennai"/>
    <n v="13"/>
    <n v="444"/>
    <n v="4"/>
    <n v="46.870238797617098"/>
    <s v="Fail"/>
    <n v="4.6205460645137002"/>
    <x v="0"/>
    <s v="Route A"/>
    <n v="866.472800129657"/>
    <m/>
    <n v="21.095698443041815"/>
    <n v="0.105563600895534"/>
    <n v="0.10952916017062282"/>
    <x v="2"/>
    <n v="6997.5438772134057"/>
    <n v="0.8845460630888593"/>
  </r>
  <r>
    <x v="0"/>
    <s v="SKU74"/>
    <n v="3.1700114135661499"/>
    <n v="64"/>
    <n v="904"/>
    <n v="5709.9452959692799"/>
    <x v="0"/>
    <n v="41"/>
    <n v="6"/>
    <n v="1"/>
    <n v="5"/>
    <s v="Carrier A"/>
    <n v="5.2376546500374399"/>
    <x v="3"/>
    <s v="Delhi"/>
    <n v="1"/>
    <n v="919"/>
    <n v="9"/>
    <n v="80.580852156447804"/>
    <s v="Fail"/>
    <n v="0.39661272410993498"/>
    <x v="2"/>
    <s v="Route A"/>
    <n v="341.55265678322297"/>
    <m/>
    <n v="6.3163111681076103"/>
    <n v="8.7683190594611327E-2"/>
    <n v="5.981715044176153E-2"/>
    <x v="0"/>
    <n v="5287.8117870296091"/>
    <n v="0.92607048105387979"/>
  </r>
  <r>
    <x v="1"/>
    <s v="SKU75"/>
    <n v="92.996884233970604"/>
    <n v="29"/>
    <n v="106"/>
    <n v="1889.07358977933"/>
    <x v="0"/>
    <n v="16"/>
    <n v="20"/>
    <n v="56"/>
    <n v="10"/>
    <s v="Carrier C"/>
    <n v="2.47389776104546"/>
    <x v="1"/>
    <s v="Chennai"/>
    <n v="25"/>
    <n v="759"/>
    <n v="11"/>
    <n v="48.064782640006499"/>
    <s v="Pass"/>
    <n v="2.0300690886687498"/>
    <x v="1"/>
    <s v="Route C"/>
    <n v="873.12964801765099"/>
    <m/>
    <n v="17.821448960182359"/>
    <n v="6.3326459341247032E-2"/>
    <n v="0.46219991256118542"/>
    <x v="2"/>
    <n v="967.87915912167239"/>
    <n v="0.51235651398563786"/>
  </r>
  <r>
    <x v="0"/>
    <s v="SKU76"/>
    <n v="69.108799547430294"/>
    <n v="23"/>
    <n v="241"/>
    <n v="5328.3759842977497"/>
    <x v="2"/>
    <n v="38"/>
    <n v="1"/>
    <n v="22"/>
    <n v="10"/>
    <s v="Carrier A"/>
    <n v="7.0545383368369201"/>
    <x v="4"/>
    <s v="Bangalore"/>
    <n v="25"/>
    <n v="985"/>
    <n v="24"/>
    <n v="64.323597795600193"/>
    <s v="Pending"/>
    <n v="2.1800374515822099"/>
    <x v="2"/>
    <s v="Route A"/>
    <n v="997.41345013319403"/>
    <m/>
    <n v="22.109443918247923"/>
    <n v="6.530314497015248E-2"/>
    <n v="0.18718901464019858"/>
    <x v="0"/>
    <n v="4266.6389363689559"/>
    <n v="0.80073908991076481"/>
  </r>
  <r>
    <x v="0"/>
    <s v="SKU77"/>
    <n v="57.449742958971399"/>
    <n v="14"/>
    <n v="359"/>
    <n v="2483.7601775427902"/>
    <x v="1"/>
    <n v="96"/>
    <n v="28"/>
    <n v="57"/>
    <n v="4"/>
    <s v="Carrier B"/>
    <n v="6.7809466256178901"/>
    <x v="1"/>
    <s v="Kolkata"/>
    <n v="26"/>
    <n v="334"/>
    <n v="5"/>
    <n v="42.952444748991802"/>
    <s v="Pass"/>
    <n v="3.0551418183075398"/>
    <x v="0"/>
    <s v="Route B"/>
    <n v="852.56809891984994"/>
    <m/>
    <n v="6.9185520265815885"/>
    <n v="0.12860013397901737"/>
    <n v="0.34325701274561238"/>
    <x v="1"/>
    <n v="1588.2396338739486"/>
    <n v="0.63944967321491186"/>
  </r>
  <r>
    <x v="0"/>
    <s v="SKU78"/>
    <n v="6.30688317611191"/>
    <n v="50"/>
    <n v="946"/>
    <n v="1292.45841793775"/>
    <x v="1"/>
    <n v="5"/>
    <n v="4"/>
    <n v="51"/>
    <n v="5"/>
    <s v="Carrier B"/>
    <n v="8.4670497708619905"/>
    <x v="2"/>
    <s v="Mumbai"/>
    <n v="25"/>
    <n v="858"/>
    <n v="21"/>
    <n v="71.126514720403307"/>
    <s v="Pending"/>
    <n v="4.0968813324704501"/>
    <x v="3"/>
    <s v="Route C"/>
    <n v="323.59220343132199"/>
    <m/>
    <n v="1.3662351140991016"/>
    <n v="8.2898035804665857E-2"/>
    <n v="0.25036952751458458"/>
    <x v="0"/>
    <n v="897.73969978602474"/>
    <n v="0.69459851653754601"/>
  </r>
  <r>
    <x v="0"/>
    <s v="SKU79"/>
    <n v="57.057031221103202"/>
    <n v="56"/>
    <n v="198"/>
    <n v="7888.7232684270803"/>
    <x v="2"/>
    <n v="31"/>
    <n v="25"/>
    <n v="20"/>
    <n v="1"/>
    <s v="Carrier B"/>
    <n v="6.49632536429504"/>
    <x v="0"/>
    <s v="Bangalore"/>
    <n v="5"/>
    <n v="228"/>
    <n v="12"/>
    <n v="57.870902924036201"/>
    <s v="Pending"/>
    <n v="0.16587162748060799"/>
    <x v="1"/>
    <s v="Route C"/>
    <n v="351.50421933503799"/>
    <m/>
    <n v="39.842036709227678"/>
    <n v="0.25381974966682547"/>
    <n v="4.4557808326457352E-2"/>
    <x v="0"/>
    <n v="7479.3481461680058"/>
    <n v="0.94810628940458463"/>
  </r>
  <r>
    <x v="1"/>
    <s v="SKU80"/>
    <n v="91.128318350444303"/>
    <n v="75"/>
    <n v="872"/>
    <n v="8651.67268298206"/>
    <x v="1"/>
    <n v="39"/>
    <n v="14"/>
    <n v="41"/>
    <n v="2"/>
    <s v="Carrier C"/>
    <n v="2.8331846794189701"/>
    <x v="0"/>
    <s v="Chennai"/>
    <n v="8"/>
    <n v="202"/>
    <n v="5"/>
    <n v="76.961228023819999"/>
    <s v="Fail"/>
    <n v="2.8496621985053299"/>
    <x v="3"/>
    <s v="Route B"/>
    <n v="787.77985049434403"/>
    <m/>
    <n v="9.9216429850711698"/>
    <n v="0.38099617833574256"/>
    <n v="9.1055207398670554E-2"/>
    <x v="0"/>
    <n v="7786.9316044638963"/>
    <n v="0.90004926096902405"/>
  </r>
  <r>
    <x v="0"/>
    <s v="SKU81"/>
    <n v="72.819206930318202"/>
    <n v="9"/>
    <n v="774"/>
    <n v="4384.4134000458598"/>
    <x v="1"/>
    <n v="48"/>
    <n v="6"/>
    <n v="8"/>
    <n v="5"/>
    <s v="Carrier B"/>
    <n v="4.0662775015120403"/>
    <x v="0"/>
    <s v="Delhi"/>
    <n v="28"/>
    <n v="698"/>
    <n v="1"/>
    <n v="19.789592941903599"/>
    <s v="Pending"/>
    <n v="2.54754712154871"/>
    <x v="2"/>
    <s v="Route B"/>
    <n v="276.77833594679799"/>
    <m/>
    <n v="5.6646167959248839"/>
    <n v="2.8351852352297421E-2"/>
    <n v="6.3127791723267462E-2"/>
    <x v="0"/>
    <n v="4087.845471157158"/>
    <n v="0.93235858441505548"/>
  </r>
  <r>
    <x v="1"/>
    <s v="SKU82"/>
    <n v="17.034930739467899"/>
    <n v="13"/>
    <n v="336"/>
    <n v="2943.3818676094502"/>
    <x v="1"/>
    <n v="42"/>
    <n v="19"/>
    <n v="72"/>
    <n v="1"/>
    <s v="Carrier A"/>
    <n v="4.7081818735419301"/>
    <x v="4"/>
    <s v="Mumbai"/>
    <n v="6"/>
    <n v="955"/>
    <n v="26"/>
    <n v="4.4652784349432402"/>
    <s v="Pending"/>
    <n v="4.1378770486223502"/>
    <x v="0"/>
    <s v="Route C"/>
    <n v="589.97855562804"/>
    <m/>
    <n v="8.760065082170982"/>
    <n v="4.6756842250714557E-3"/>
    <n v="0.20044241018145822"/>
    <x v="0"/>
    <n v="2348.9380335464671"/>
    <n v="0.79804053269317132"/>
  </r>
  <r>
    <x v="0"/>
    <s v="SKU83"/>
    <n v="68.911246211606297"/>
    <n v="82"/>
    <n v="663"/>
    <n v="2411.7546321104901"/>
    <x v="1"/>
    <n v="65"/>
    <n v="24"/>
    <n v="7"/>
    <n v="8"/>
    <s v="Carrier B"/>
    <n v="4.94983957799694"/>
    <x v="1"/>
    <s v="Bangalore"/>
    <n v="20"/>
    <n v="443"/>
    <n v="5"/>
    <n v="97.730593800533001"/>
    <s v="Fail"/>
    <n v="0.77300613406724705"/>
    <x v="0"/>
    <s v="Route A"/>
    <n v="682.97101822609295"/>
    <m/>
    <n v="3.6376389624592611"/>
    <n v="0.22061082122016479"/>
    <n v="0.28318428795902645"/>
    <x v="1"/>
    <n v="1631.0530200838643"/>
    <n v="0.67629310144894572"/>
  </r>
  <r>
    <x v="0"/>
    <s v="SKU84"/>
    <n v="89.104367292102197"/>
    <n v="99"/>
    <n v="618"/>
    <n v="2048.2900998487098"/>
    <x v="1"/>
    <n v="73"/>
    <n v="26"/>
    <n v="80"/>
    <n v="10"/>
    <s v="Carrier A"/>
    <n v="8.3816156249226292"/>
    <x v="2"/>
    <s v="Chennai"/>
    <n v="24"/>
    <n v="589"/>
    <n v="22"/>
    <n v="33.808636513209002"/>
    <s v="Pass"/>
    <n v="4.8434565771180402"/>
    <x v="1"/>
    <s v="Route B"/>
    <n v="465.45700596368698"/>
    <m/>
    <n v="3.3143852748361002"/>
    <n v="5.7400061991865876E-2"/>
    <n v="0.22724173982878032"/>
    <x v="1"/>
    <n v="1549.0244573718139"/>
    <n v="0.75625247492346304"/>
  </r>
  <r>
    <x v="2"/>
    <s v="SKU85"/>
    <n v="76.962994415193805"/>
    <n v="83"/>
    <n v="25"/>
    <n v="8684.6130592538502"/>
    <x v="0"/>
    <n v="15"/>
    <n v="18"/>
    <n v="66"/>
    <n v="2"/>
    <s v="Carrier C"/>
    <n v="8.2491687048717193"/>
    <x v="2"/>
    <s v="Chennai"/>
    <n v="4"/>
    <n v="211"/>
    <n v="2"/>
    <n v="69.929345518672307"/>
    <s v="Fail"/>
    <n v="1.3744289997457499"/>
    <x v="0"/>
    <s v="Route B"/>
    <n v="842.68683000464102"/>
    <m/>
    <n v="347.384522370154"/>
    <n v="0.33141869914062705"/>
    <n v="9.7032167611281181E-2"/>
    <x v="2"/>
    <n v="7771.9968837305369"/>
    <n v="0.89491573553171955"/>
  </r>
  <r>
    <x v="1"/>
    <s v="SKU86"/>
    <n v="19.9981769404042"/>
    <n v="18"/>
    <n v="223"/>
    <n v="1229.59102856498"/>
    <x v="1"/>
    <n v="32"/>
    <n v="14"/>
    <n v="22"/>
    <n v="6"/>
    <s v="Carrier B"/>
    <n v="1.4543053101535499"/>
    <x v="1"/>
    <s v="Mumbai"/>
    <n v="4"/>
    <n v="569"/>
    <n v="18"/>
    <n v="74.608969995194599"/>
    <s v="Pass"/>
    <n v="2.0515129307662399"/>
    <x v="2"/>
    <s v="Route A"/>
    <n v="264.25488983586598"/>
    <m/>
    <n v="5.5138611146411662"/>
    <n v="0.13112297011457749"/>
    <n v="0.21491283174395814"/>
    <x v="0"/>
    <n v="890.72716873391937"/>
    <n v="0.72440929385558483"/>
  </r>
  <r>
    <x v="0"/>
    <s v="SKU87"/>
    <n v="80.414036650355698"/>
    <n v="24"/>
    <n v="79"/>
    <n v="5133.8467010866898"/>
    <x v="2"/>
    <n v="5"/>
    <n v="7"/>
    <n v="55"/>
    <n v="10"/>
    <s v="Carrier A"/>
    <n v="6.5758037975485299"/>
    <x v="0"/>
    <s v="Chennai"/>
    <n v="27"/>
    <n v="523"/>
    <n v="17"/>
    <n v="28.696996824143099"/>
    <s v="Fail"/>
    <n v="3.6937377878392699"/>
    <x v="3"/>
    <s v="Route B"/>
    <n v="879.35921773492396"/>
    <m/>
    <n v="64.985401279578355"/>
    <n v="5.4869974807156975E-2"/>
    <n v="0.17128661390469421"/>
    <x v="0"/>
    <n v="4225.7904865276232"/>
    <n v="0.82312362105263936"/>
  </r>
  <r>
    <x v="2"/>
    <s v="SKU88"/>
    <n v="75.270406975724995"/>
    <n v="58"/>
    <n v="737"/>
    <n v="9444.7420330629793"/>
    <x v="2"/>
    <n v="60"/>
    <n v="18"/>
    <n v="85"/>
    <n v="7"/>
    <s v="Carrier A"/>
    <n v="3.8012531329310701"/>
    <x v="4"/>
    <s v="Mumbai"/>
    <n v="21"/>
    <n v="953"/>
    <n v="11"/>
    <n v="68.1849190570411"/>
    <s v="Pending"/>
    <n v="0.722204401882931"/>
    <x v="3"/>
    <s v="Route A"/>
    <n v="103.916247960704"/>
    <m/>
    <n v="12.815118090994545"/>
    <n v="7.1547659031522659E-2"/>
    <n v="1.1002550159329594E-2"/>
    <x v="1"/>
    <n v="9272.6408660452344"/>
    <n v="0.98177809765314139"/>
  </r>
  <r>
    <x v="2"/>
    <s v="SKU89"/>
    <n v="97.760085581938597"/>
    <n v="10"/>
    <n v="134"/>
    <n v="5924.6825668532301"/>
    <x v="1"/>
    <n v="90"/>
    <n v="1"/>
    <n v="27"/>
    <n v="8"/>
    <s v="Carrier B"/>
    <n v="9.9298162452772498"/>
    <x v="1"/>
    <s v="Kolkata"/>
    <n v="23"/>
    <n v="370"/>
    <n v="11"/>
    <n v="46.603873381644398"/>
    <s v="Pending"/>
    <n v="1.9076657339590699"/>
    <x v="2"/>
    <s v="Route B"/>
    <n v="517.49997392906005"/>
    <m/>
    <n v="44.214049006367389"/>
    <n v="0.12595641454498485"/>
    <n v="8.7346447356405663E-2"/>
    <x v="1"/>
    <n v="5360.5787195425264"/>
    <n v="0.90478749857980734"/>
  </r>
  <r>
    <x v="1"/>
    <s v="SKU90"/>
    <n v="13.881913501359101"/>
    <n v="56"/>
    <n v="320"/>
    <n v="9592.6335702803099"/>
    <x v="0"/>
    <n v="66"/>
    <n v="18"/>
    <n v="96"/>
    <n v="7"/>
    <s v="Carrier B"/>
    <n v="7.6744307081126903"/>
    <x v="0"/>
    <s v="Bangalore"/>
    <n v="8"/>
    <n v="585"/>
    <n v="8"/>
    <n v="85.675963335797903"/>
    <s v="Pass"/>
    <n v="1.2193822244013801"/>
    <x v="2"/>
    <s v="Route B"/>
    <n v="990.07847250581096"/>
    <m/>
    <n v="29.976979907125969"/>
    <n v="0.14645463818085111"/>
    <n v="0.10321237283296744"/>
    <x v="1"/>
    <n v="8516.8791344387009"/>
    <n v="0.88785619423903694"/>
  </r>
  <r>
    <x v="2"/>
    <s v="SKU91"/>
    <n v="62.111965463961702"/>
    <n v="90"/>
    <n v="916"/>
    <n v="1935.20679350759"/>
    <x v="2"/>
    <n v="98"/>
    <n v="22"/>
    <n v="85"/>
    <n v="7"/>
    <s v="Carrier B"/>
    <n v="7.4715140844011403"/>
    <x v="3"/>
    <s v="Delhi"/>
    <n v="5"/>
    <n v="207"/>
    <n v="28"/>
    <n v="39.772882502339897"/>
    <s v="Pending"/>
    <n v="0.62600185820939402"/>
    <x v="2"/>
    <s v="Route B"/>
    <n v="996.77831495062298"/>
    <m/>
    <n v="2.1126711719515172"/>
    <n v="0.19213952899681111"/>
    <n v="0.51507586594606158"/>
    <x v="1"/>
    <n v="898.65559605462715"/>
    <n v="0.46437186923357221"/>
  </r>
  <r>
    <x v="2"/>
    <s v="SKU92"/>
    <n v="47.714233075820196"/>
    <n v="44"/>
    <n v="276"/>
    <n v="2100.1297546259302"/>
    <x v="2"/>
    <n v="90"/>
    <n v="25"/>
    <n v="10"/>
    <n v="8"/>
    <s v="Carrier B"/>
    <n v="4.4695000261236002"/>
    <x v="4"/>
    <s v="Mumbai"/>
    <n v="4"/>
    <n v="671"/>
    <n v="29"/>
    <n v="62.612690395614301"/>
    <s v="Pass"/>
    <n v="0.33343182522473902"/>
    <x v="2"/>
    <s v="Route B"/>
    <n v="230.092782536762"/>
    <m/>
    <n v="7.6091657776301815"/>
    <n v="9.3312504315371539E-2"/>
    <n v="0.10956122212446133"/>
    <x v="1"/>
    <n v="1807.4242816935539"/>
    <n v="0.8606250531484364"/>
  </r>
  <r>
    <x v="0"/>
    <s v="SKU93"/>
    <n v="69.290831002905406"/>
    <n v="88"/>
    <n v="114"/>
    <n v="4531.4021336919004"/>
    <x v="1"/>
    <n v="63"/>
    <n v="17"/>
    <n v="66"/>
    <n v="1"/>
    <s v="Carrier C"/>
    <n v="7.00643205900439"/>
    <x v="3"/>
    <s v="Chennai"/>
    <n v="21"/>
    <n v="824"/>
    <n v="20"/>
    <n v="35.633652343343797"/>
    <s v="Fail"/>
    <n v="4.1657817954241398"/>
    <x v="1"/>
    <s v="Route A"/>
    <n v="823.52384588815505"/>
    <m/>
    <n v="39.749141523613162"/>
    <n v="4.3244723717650237E-2"/>
    <n v="0.18173709187385667"/>
    <x v="1"/>
    <n v="3672.2446354604017"/>
    <n v="0.81039919369691615"/>
  </r>
  <r>
    <x v="2"/>
    <s v="SKU94"/>
    <n v="3.0376887246314102"/>
    <n v="97"/>
    <n v="987"/>
    <n v="7888.3565466618702"/>
    <x v="1"/>
    <n v="77"/>
    <n v="26"/>
    <n v="72"/>
    <n v="9"/>
    <s v="Carrier B"/>
    <n v="6.9429459420325799"/>
    <x v="4"/>
    <s v="Delhi"/>
    <n v="12"/>
    <n v="908"/>
    <n v="14"/>
    <n v="60.387378614862101"/>
    <s v="Pass"/>
    <n v="1.4636074984727701"/>
    <x v="2"/>
    <s v="Route B"/>
    <n v="846.66525698669398"/>
    <m/>
    <n v="7.9922558730110138"/>
    <n v="6.6505923584649893E-2"/>
    <n v="0.1073310076666069"/>
    <x v="1"/>
    <n v="6981.303911060314"/>
    <n v="0.88501373762252222"/>
  </r>
  <r>
    <x v="0"/>
    <s v="SKU95"/>
    <n v="77.903927219447695"/>
    <n v="65"/>
    <n v="672"/>
    <n v="7386.3639440486604"/>
    <x v="1"/>
    <n v="15"/>
    <n v="14"/>
    <n v="26"/>
    <n v="9"/>
    <s v="Carrier B"/>
    <n v="8.6303388696027508"/>
    <x v="3"/>
    <s v="Mumbai"/>
    <n v="18"/>
    <n v="450"/>
    <n v="26"/>
    <n v="58.890685768589897"/>
    <s v="Pending"/>
    <n v="1.21088212958506"/>
    <x v="1"/>
    <s v="Route A"/>
    <n v="778.86424137664699"/>
    <m/>
    <n v="10.991613011977174"/>
    <n v="0.13086819059686644"/>
    <n v="0.1054462313631585"/>
    <x v="0"/>
    <n v="6548.6090169034233"/>
    <n v="0.88658087612644199"/>
  </r>
  <r>
    <x v="2"/>
    <s v="SKU96"/>
    <n v="24.423131420373299"/>
    <n v="29"/>
    <n v="324"/>
    <n v="7698.4247656321104"/>
    <x v="2"/>
    <n v="67"/>
    <n v="2"/>
    <n v="32"/>
    <n v="3"/>
    <s v="Carrier C"/>
    <n v="5.3528780439967996"/>
    <x v="0"/>
    <s v="Mumbai"/>
    <n v="28"/>
    <n v="648"/>
    <n v="28"/>
    <n v="17.803756331391199"/>
    <s v="Pending"/>
    <n v="3.8720476814821301"/>
    <x v="0"/>
    <s v="Route A"/>
    <n v="188.74214114905601"/>
    <m/>
    <n v="23.760570264296636"/>
    <n v="2.7474932610171605E-2"/>
    <n v="2.4516981966447596E-2"/>
    <x v="1"/>
    <n v="7491.8788681516635"/>
    <n v="0.97317036877433361"/>
  </r>
  <r>
    <x v="0"/>
    <s v="SKU97"/>
    <n v="3.5261112591434101"/>
    <n v="56"/>
    <n v="62"/>
    <n v="4370.9165799845296"/>
    <x v="2"/>
    <n v="46"/>
    <n v="19"/>
    <n v="4"/>
    <n v="9"/>
    <s v="Carrier A"/>
    <n v="7.9048456112096703"/>
    <x v="3"/>
    <s v="Mumbai"/>
    <n v="10"/>
    <n v="535"/>
    <n v="13"/>
    <n v="65.765155926367399"/>
    <s v="Fail"/>
    <n v="3.3762378347179798"/>
    <x v="0"/>
    <s v="Route A"/>
    <n v="540.13242286796697"/>
    <m/>
    <n v="70.498654515879508"/>
    <n v="0.12292552509601383"/>
    <n v="0.12357417786039712"/>
    <x v="0"/>
    <n v="3765.019001190195"/>
    <n v="0.86137974319416566"/>
  </r>
  <r>
    <x v="1"/>
    <s v="SKU98"/>
    <n v="19.754604866878601"/>
    <n v="43"/>
    <n v="913"/>
    <n v="8525.9525596835192"/>
    <x v="0"/>
    <n v="53"/>
    <n v="1"/>
    <n v="27"/>
    <n v="7"/>
    <s v="Carrier B"/>
    <n v="1.4098010951380699"/>
    <x v="2"/>
    <s v="Chennai"/>
    <n v="28"/>
    <n v="581"/>
    <n v="9"/>
    <n v="5.6046908643717801"/>
    <s v="Pending"/>
    <n v="2.9081221693512598"/>
    <x v="2"/>
    <s v="Route A"/>
    <n v="882.19886354704101"/>
    <m/>
    <n v="9.3383927269260898"/>
    <n v="9.6466279937552149E-3"/>
    <n v="0.10347217596760684"/>
    <x v="0"/>
    <n v="7638.1490052721074"/>
    <n v="0.89587045574126833"/>
  </r>
  <r>
    <x v="0"/>
    <s v="SKU99"/>
    <n v="68.517832699276596"/>
    <n v="17"/>
    <n v="627"/>
    <n v="9185.1858291817007"/>
    <x v="1"/>
    <n v="55"/>
    <n v="8"/>
    <n v="59"/>
    <n v="6"/>
    <s v="Carrier B"/>
    <n v="1.3110237561206199"/>
    <x v="4"/>
    <s v="Chennai"/>
    <n v="29"/>
    <n v="921"/>
    <n v="2"/>
    <n v="38.072898520625998"/>
    <s v="Fail"/>
    <n v="0.34602729070550298"/>
    <x v="2"/>
    <s v="Route B"/>
    <n v="210.743008964246"/>
    <m/>
    <n v="14.649419185297768"/>
    <n v="4.1338652031081433E-2"/>
    <n v="2.2943793722137562E-2"/>
    <x v="0"/>
    <n v="8936.3699216968289"/>
    <n v="0.9729111732618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61EFFB-D745-4B56-8CCB-2E2E801E3E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5:M31" firstHeaderRow="1" firstDataRow="1" firstDataCol="1"/>
  <pivotFields count="31">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13"/>
  </rowFields>
  <rowItems count="6">
    <i>
      <x/>
    </i>
    <i>
      <x v="1"/>
    </i>
    <i>
      <x v="4"/>
    </i>
    <i>
      <x v="2"/>
    </i>
    <i>
      <x v="3"/>
    </i>
    <i t="grand">
      <x/>
    </i>
  </rowItems>
  <colItems count="1">
    <i/>
  </colItems>
  <dataFields count="1">
    <dataField name="Sum of Revenue generate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A8C081-DEBE-4904-BBCF-018140B805C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0:C104" firstHeaderRow="0" firstDataRow="1" firstDataCol="1"/>
  <pivotFields count="31">
    <pivotField showAll="0">
      <items count="4">
        <item x="2"/>
        <item x="0"/>
        <item x="1"/>
        <item t="default"/>
      </items>
    </pivotField>
    <pivotField showAll="0"/>
    <pivotField showAll="0"/>
    <pivotField showAll="0"/>
    <pivotField dataField="1" showAll="0"/>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6"/>
  </rowFields>
  <rowItems count="4">
    <i>
      <x/>
    </i>
    <i>
      <x v="1"/>
    </i>
    <i>
      <x v="2"/>
    </i>
    <i t="grand">
      <x/>
    </i>
  </rowItems>
  <colFields count="1">
    <field x="-2"/>
  </colFields>
  <colItems count="2">
    <i>
      <x/>
    </i>
    <i i="1">
      <x v="1"/>
    </i>
  </colItems>
  <dataFields count="2">
    <dataField name="Average of Revenue generated" fld="5" subtotal="average" baseField="6" baseItem="0"/>
    <dataField name="Sum of Number of products sold" fld="4" baseField="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F052C-A32A-4999-A0E0-CA00AC3033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2" firstHeaderRow="1" firstDataRow="1" firstDataCol="1"/>
  <pivotFields count="31">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5">
        <item x="1"/>
        <item x="2"/>
        <item x="0"/>
        <item x="3"/>
        <item t="default"/>
      </items>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13"/>
  </rowFields>
  <rowItems count="6">
    <i>
      <x v="4"/>
    </i>
    <i>
      <x v="2"/>
    </i>
    <i>
      <x v="1"/>
    </i>
    <i>
      <x v="3"/>
    </i>
    <i>
      <x/>
    </i>
    <i t="grand">
      <x/>
    </i>
  </rowItems>
  <colItems count="1">
    <i/>
  </colItems>
  <dataFields count="1">
    <dataField name="Average of Defect rates" fld="20" subtotal="average" baseField="13"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E5192-E750-4D19-B7E5-6B772A24B9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31">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0"/>
  </rowFields>
  <rowItems count="4">
    <i>
      <x v="2"/>
    </i>
    <i>
      <x v="1"/>
    </i>
    <i>
      <x/>
    </i>
    <i t="grand">
      <x/>
    </i>
  </rowItems>
  <colFields count="1">
    <field x="-2"/>
  </colFields>
  <colItems count="2">
    <i>
      <x/>
    </i>
    <i i="1">
      <x v="1"/>
    </i>
  </colItems>
  <dataFields count="2">
    <dataField name="Sum of Revenue generated" fld="5" baseField="0" baseItem="0"/>
    <dataField name="Sum of Number of products sol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A7E9F-126B-4DEF-9D98-A1269242A2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50:F55" firstHeaderRow="1" firstDataRow="1" firstDataCol="1"/>
  <pivotFields count="31">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21"/>
  </rowFields>
  <rowItems count="5">
    <i>
      <x v="1"/>
    </i>
    <i>
      <x v="2"/>
    </i>
    <i>
      <x/>
    </i>
    <i>
      <x v="3"/>
    </i>
    <i t="grand">
      <x/>
    </i>
  </rowItems>
  <colItems count="1">
    <i/>
  </colItems>
  <dataFields count="1">
    <dataField name="Sum of Revenue generated" fld="5"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C166E-9552-4B6B-A76E-78BF9A2A376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75:F79" firstHeaderRow="1" firstDataRow="1" firstDataCol="1"/>
  <pivotFields count="31">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44" showAll="0"/>
    <pivotField numFmtId="10" showAll="0"/>
  </pivotFields>
  <rowFields count="1">
    <field x="28"/>
  </rowFields>
  <rowItems count="4">
    <i>
      <x/>
    </i>
    <i>
      <x v="2"/>
    </i>
    <i>
      <x v="1"/>
    </i>
    <i t="grand">
      <x/>
    </i>
  </rowItems>
  <colItems count="1">
    <i/>
  </colItems>
  <dataFields count="1">
    <dataField name="Average of Revenue generated" fld="5" subtotal="average" baseField="28"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D641FC-432A-4981-82A7-BFE7704491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5:G31" firstHeaderRow="1" firstDataRow="1" firstDataCol="1"/>
  <pivotFields count="31">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13"/>
  </rowFields>
  <rowItems count="6">
    <i>
      <x v="3"/>
    </i>
    <i>
      <x/>
    </i>
    <i>
      <x v="1"/>
    </i>
    <i>
      <x v="4"/>
    </i>
    <i>
      <x v="2"/>
    </i>
    <i t="grand">
      <x/>
    </i>
  </rowItems>
  <colItems count="1">
    <i/>
  </colItems>
  <dataFields count="1">
    <dataField name="Average of Lead times" fld="8"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10C30C-F265-45A7-BDE7-BF2EE8D5CB1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C55" firstHeaderRow="0" firstDataRow="1" firstDataCol="1"/>
  <pivotFields count="31">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1"/>
        <item x="4"/>
        <item x="0"/>
        <item x="3"/>
        <item x="2"/>
        <item t="default"/>
      </items>
    </pivotField>
    <pivotField showAll="0"/>
    <pivotField dataField="1"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44" showAll="0"/>
    <pivotField numFmtId="44" showAll="0"/>
    <pivotField numFmtId="10" showAll="0"/>
    <pivotField showAll="0"/>
    <pivotField numFmtId="44" showAll="0"/>
    <pivotField numFmtId="10" showAll="0"/>
  </pivotFields>
  <rowFields count="1">
    <field x="21"/>
  </rowFields>
  <rowItems count="5">
    <i>
      <x v="2"/>
    </i>
    <i>
      <x v="1"/>
    </i>
    <i>
      <x v="3"/>
    </i>
    <i>
      <x/>
    </i>
    <i t="grand">
      <x/>
    </i>
  </rowItems>
  <colFields count="1">
    <field x="-2"/>
  </colFields>
  <colItems count="2">
    <i>
      <x/>
    </i>
    <i i="1">
      <x v="1"/>
    </i>
  </colItems>
  <dataFields count="2">
    <dataField name="Average of Shipping costs" fld="12" subtotal="average" baseField="21" baseItem="0"/>
    <dataField name="Average of Lead time" fld="15" subtotal="average" baseField="2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A8694-A334-433A-B85F-07CF558640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5:B79" firstHeaderRow="1" firstDataRow="1" firstDataCol="1"/>
  <pivotFields count="31">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numFmtId="44" showAll="0"/>
    <pivotField numFmtId="44" showAll="0"/>
    <pivotField numFmtId="10"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44" showAll="0"/>
    <pivotField numFmtId="10" showAll="0"/>
  </pivotFields>
  <rowFields count="1">
    <field x="28"/>
  </rowFields>
  <rowItems count="4">
    <i>
      <x v="2"/>
    </i>
    <i>
      <x v="1"/>
    </i>
    <i>
      <x/>
    </i>
    <i t="grand">
      <x/>
    </i>
  </rowItems>
  <colItems count="1">
    <i/>
  </colItems>
  <dataFields count="1">
    <dataField name="Count of SKU"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4C7DB792-4306-4F2C-989A-ADE06993D5F6}" sourceName="Product type">
  <pivotTables>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s>
  <data>
    <tabular pivotCacheId="1530877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6A1512F1-3074-43DB-B7F7-0EE4E055B6D6}" sourceName="Supplier name">
  <pivotTables>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s>
  <data>
    <tabular pivotCacheId="153087736">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1" xr10:uid="{E173E028-263F-415D-9840-A3243D8FC4DB}" sourceName="Transportation modes">
  <pivotTables>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s>
  <data>
    <tabular pivotCacheId="153087736">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845BBEE-3F84-4620-A2AB-C26E60A17EC0}" sourceName="Product type">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CD0F5CB0-9B65-4498-BE7C-A2742EF9FC9E}" sourceName="Supplier name">
  <extLst>
    <x:ext xmlns:x15="http://schemas.microsoft.com/office/spreadsheetml/2010/11/main" uri="{2F2917AC-EB37-4324-AD4E-5DD8C200BD13}">
      <x15:tableSlicerCache tableId="1"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B37A5759-967F-42E0-8AEF-0838CD6F10D4}" sourceName="Transportation modes">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841590DB-1CD9-457F-BE05-9D7629A6D4F0}" cache="Slicer_Product_type" caption="Product type" rowHeight="257175"/>
  <slicer name="Supplier name" xr10:uid="{73B06B81-EC90-4EE4-B953-D03223F72C11}" cache="Slicer_Supplier_name" caption="Supplier name" rowHeight="257175"/>
  <slicer name="Transportation modes" xr10:uid="{5ADD5BD8-4A71-4AFF-BE96-C81B6D8493E2}" cache="Slicer_Transportation_modes" caption="Transportation mode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25013B6C-ED75-4483-BCF2-A07EB8FD1F90}" cache="Slicer_Product_type1" caption="Product type" rowHeight="257175"/>
  <slicer name="Supplier name 1" xr10:uid="{21A2B55A-9DE3-4770-B64B-88FAEDB5447E}" cache="Slicer_Supplier_name1" caption="Supplier name" rowHeight="257175"/>
  <slicer name="Transportation modes 1" xr10:uid="{C7FF4C06-4A6E-4EE0-AA30-A0577D90D74D}" cache="Slicer_Transportation_modes1" caption="Transportation mode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054977-1477-49F0-BB78-E05C4E9846DC}" name="SupplyData" displayName="SupplyData" ref="A1:X101" totalsRowShown="0">
  <autoFilter ref="A1:X101" xr:uid="{44054977-1477-49F0-BB78-E05C4E9846DC}"/>
  <tableColumns count="24">
    <tableColumn id="1" xr3:uid="{72874ABE-662D-41CE-9A90-03723BF8F197}" name="Product type"/>
    <tableColumn id="2" xr3:uid="{4B1F6A7B-8C07-45D2-B007-21FF71A2B4DD}" name="SKU"/>
    <tableColumn id="3" xr3:uid="{818BA302-CE92-474E-B731-F2A0F24CAC72}" name="Price"/>
    <tableColumn id="4" xr3:uid="{42A8AD55-B1AE-4B93-B8CC-7387910FB540}" name="Availability"/>
    <tableColumn id="5" xr3:uid="{D5DB1185-D4F9-44B3-9540-156577EED7B8}" name="Number of products sold"/>
    <tableColumn id="6" xr3:uid="{C6364EE3-83DA-440B-8583-F1F4B439AF74}" name="Revenue generated"/>
    <tableColumn id="7" xr3:uid="{700A74A8-8DCF-4C70-800B-4040B1DCC519}" name="Customer demographics"/>
    <tableColumn id="8" xr3:uid="{1004BDEB-506D-484F-A559-841AB9187F19}" name="Stock levels"/>
    <tableColumn id="9" xr3:uid="{E25A53D2-F5BD-4DBC-9676-7E9F0BB9F8AD}" name="Lead times"/>
    <tableColumn id="10" xr3:uid="{76FAA019-17A7-43D2-868B-75670312666C}" name="Order quantities"/>
    <tableColumn id="11" xr3:uid="{5DD26D28-4A63-40A5-81C4-514EF688FC47}" name="Shipping times"/>
    <tableColumn id="12" xr3:uid="{ECC83B56-E068-4DB4-9F8A-2959B063E946}" name="Shipping carriers"/>
    <tableColumn id="13" xr3:uid="{0E8CCAB7-0A38-428F-8A74-45171245EB69}" name="Shipping costs"/>
    <tableColumn id="14" xr3:uid="{230B9E3B-EEDA-41BC-904B-E69375BE95ED}" name="Supplier name"/>
    <tableColumn id="15" xr3:uid="{DCCBDF13-98F2-4077-8C6B-A6983F90EAED}" name="Location"/>
    <tableColumn id="16" xr3:uid="{08A9CD7F-E8F1-44E0-8054-60A10025F1B6}" name="Lead time"/>
    <tableColumn id="17" xr3:uid="{32B65B30-7128-49F0-9162-B47A810CEE33}" name="Production volumes"/>
    <tableColumn id="18" xr3:uid="{198DAE90-5222-4710-B056-FB71E963605C}" name="Manufacturing lead time"/>
    <tableColumn id="19" xr3:uid="{EAA20611-2D27-4B99-9A90-F46CB7D8AEB4}" name="Manufacturing costs"/>
    <tableColumn id="20" xr3:uid="{3B814A6C-1E65-4209-87A2-C9C9FE3838F5}" name="Inspection results"/>
    <tableColumn id="21" xr3:uid="{9AC25380-14C5-4088-A10E-3D78CF2307FE}" name="Defect rates"/>
    <tableColumn id="22" xr3:uid="{974B8FFF-865A-4AAF-BFC3-08849CE966F7}" name="Transportation modes"/>
    <tableColumn id="23" xr3:uid="{65351FF5-965A-4EBF-AF55-D44521ED7C7D}" name="Routes"/>
    <tableColumn id="24" xr3:uid="{00438829-A343-45AC-AB94-FC8A083B5737}"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5C5A-EA58-426B-AEAB-A665558704A4}">
  <dimension ref="A1:AE101"/>
  <sheetViews>
    <sheetView topLeftCell="W1" zoomScale="80" zoomScaleNormal="80" workbookViewId="0">
      <selection activeCell="AI35" sqref="AI35"/>
    </sheetView>
  </sheetViews>
  <sheetFormatPr defaultRowHeight="15" x14ac:dyDescent="0.25"/>
  <cols>
    <col min="1" max="1" width="14.5703125" customWidth="1"/>
    <col min="4" max="4" width="13" customWidth="1"/>
    <col min="5" max="5" width="25.42578125" customWidth="1"/>
    <col min="6" max="6" width="20.7109375" customWidth="1"/>
    <col min="7" max="7" width="25.28515625" customWidth="1"/>
    <col min="8" max="8" width="14" customWidth="1"/>
    <col min="9" max="9" width="13" customWidth="1"/>
    <col min="10" max="10" width="17.85546875" customWidth="1"/>
    <col min="11" max="11" width="16.5703125" customWidth="1"/>
    <col min="12" max="12" width="18.28515625" customWidth="1"/>
    <col min="13" max="13" width="16.28515625" customWidth="1"/>
    <col min="14" max="14" width="16.140625" customWidth="1"/>
    <col min="15" max="15" width="10.85546875" customWidth="1"/>
    <col min="16" max="16" width="12" customWidth="1"/>
    <col min="17" max="17" width="21.140625" customWidth="1"/>
    <col min="18" max="18" width="24.85546875" customWidth="1"/>
    <col min="19" max="19" width="21.28515625" customWidth="1"/>
    <col min="20" max="20" width="19.42578125" customWidth="1"/>
    <col min="21" max="21" width="14.28515625" customWidth="1"/>
    <col min="22" max="22" width="22.85546875" customWidth="1"/>
    <col min="23" max="23" width="9.5703125" customWidth="1"/>
    <col min="26" max="26" width="20.28515625" bestFit="1" customWidth="1"/>
    <col min="27" max="27" width="12" bestFit="1" customWidth="1"/>
    <col min="28" max="28" width="15" bestFit="1" customWidth="1"/>
    <col min="29" max="29" width="12.7109375" bestFit="1" customWidth="1"/>
    <col min="30" max="30" width="12.42578125" bestFit="1" customWidth="1"/>
    <col min="31" max="31" width="14.57031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Z1" t="s">
        <v>159</v>
      </c>
      <c r="AA1" t="s">
        <v>160</v>
      </c>
      <c r="AB1" t="s">
        <v>158</v>
      </c>
      <c r="AC1" t="s">
        <v>157</v>
      </c>
      <c r="AD1" t="s">
        <v>161</v>
      </c>
      <c r="AE1" t="s">
        <v>162</v>
      </c>
    </row>
    <row r="2" spans="1:31" x14ac:dyDescent="0.25">
      <c r="A2" t="s">
        <v>24</v>
      </c>
      <c r="B2" t="s">
        <v>25</v>
      </c>
      <c r="C2">
        <v>69.808005542115694</v>
      </c>
      <c r="D2">
        <v>55</v>
      </c>
      <c r="E2">
        <v>802</v>
      </c>
      <c r="F2">
        <v>8661.9967923923796</v>
      </c>
      <c r="G2" t="s">
        <v>34</v>
      </c>
      <c r="H2">
        <v>58</v>
      </c>
      <c r="I2">
        <v>7</v>
      </c>
      <c r="J2">
        <v>96</v>
      </c>
      <c r="K2">
        <v>4</v>
      </c>
      <c r="L2" t="s">
        <v>26</v>
      </c>
      <c r="M2">
        <v>2.9565721394308002</v>
      </c>
      <c r="N2" t="s">
        <v>27</v>
      </c>
      <c r="O2" t="s">
        <v>28</v>
      </c>
      <c r="P2">
        <v>29</v>
      </c>
      <c r="Q2">
        <v>215</v>
      </c>
      <c r="R2">
        <v>29</v>
      </c>
      <c r="S2">
        <v>46.279879240508301</v>
      </c>
      <c r="T2" t="s">
        <v>29</v>
      </c>
      <c r="U2">
        <v>0.226410360849925</v>
      </c>
      <c r="V2" t="s">
        <v>30</v>
      </c>
      <c r="W2" t="s">
        <v>31</v>
      </c>
      <c r="X2">
        <v>187.75207545920301</v>
      </c>
      <c r="Z2" s="3">
        <f>SupplyData[[#This Row],[Revenue generated]]/SupplyData[[#This Row],[Number of products sold]]</f>
        <v>10.800494753606458</v>
      </c>
      <c r="AA2" s="3">
        <f>SupplyData[[#This Row],[Manufacturing costs]]/SupplyData[[#This Row],[Production volumes]]</f>
        <v>0.21525525228143397</v>
      </c>
      <c r="AB2" s="2">
        <f>SupplyData[[#This Row],[Costs]]/SupplyData[[#This Row],[Revenue generated]]</f>
        <v>2.1675380395441968E-2</v>
      </c>
      <c r="AC2" t="str">
        <f>IF(AND(H2&lt;30,I2&gt;15),"High",IF(H2&lt;60,"Medium","Low"))</f>
        <v>Medium</v>
      </c>
      <c r="AD2" s="3">
        <f>F2-S2-X2</f>
        <v>8427.9648376926689</v>
      </c>
      <c r="AE2" s="2">
        <f>AD2/F2</f>
        <v>0.97298175463361347</v>
      </c>
    </row>
    <row r="3" spans="1:31" x14ac:dyDescent="0.25">
      <c r="A3" t="s">
        <v>32</v>
      </c>
      <c r="B3" t="s">
        <v>33</v>
      </c>
      <c r="C3">
        <v>14.8435232750843</v>
      </c>
      <c r="D3">
        <v>95</v>
      </c>
      <c r="E3">
        <v>736</v>
      </c>
      <c r="F3">
        <v>7460.9000654458396</v>
      </c>
      <c r="G3" t="s">
        <v>34</v>
      </c>
      <c r="H3">
        <v>53</v>
      </c>
      <c r="I3">
        <v>30</v>
      </c>
      <c r="J3">
        <v>37</v>
      </c>
      <c r="K3">
        <v>2</v>
      </c>
      <c r="L3" t="s">
        <v>35</v>
      </c>
      <c r="M3">
        <v>9.7165747714313095</v>
      </c>
      <c r="N3" t="s">
        <v>27</v>
      </c>
      <c r="O3" t="s">
        <v>28</v>
      </c>
      <c r="P3">
        <v>23</v>
      </c>
      <c r="Q3">
        <v>517</v>
      </c>
      <c r="R3">
        <v>30</v>
      </c>
      <c r="S3">
        <v>33.616768953730002</v>
      </c>
      <c r="T3" t="s">
        <v>29</v>
      </c>
      <c r="U3">
        <v>4.8540680263886999</v>
      </c>
      <c r="V3" t="s">
        <v>30</v>
      </c>
      <c r="W3" t="s">
        <v>31</v>
      </c>
      <c r="X3">
        <v>503.06557914966902</v>
      </c>
      <c r="Z3" s="3">
        <f>SupplyData[[#This Row],[Revenue generated]]/SupplyData[[#This Row],[Number of products sold]]</f>
        <v>10.137092480225325</v>
      </c>
      <c r="AA3" s="3">
        <f>SupplyData[[#This Row],[Manufacturing costs]]/SupplyData[[#This Row],[Production volumes]]</f>
        <v>6.5022763933713743E-2</v>
      </c>
      <c r="AB3" s="2">
        <f>SupplyData[[#This Row],[Costs]]/SupplyData[[#This Row],[Revenue generated]]</f>
        <v>6.7426929021546608E-2</v>
      </c>
      <c r="AC3" t="str">
        <f t="shared" ref="AC3:AC66" si="0">IF(AND(H3&lt;30,I3&gt;15),"High",IF(H3&lt;60,"Medium","Low"))</f>
        <v>Medium</v>
      </c>
      <c r="AD3" s="3">
        <f t="shared" ref="AD3:AD66" si="1">F3-S3-X3</f>
        <v>6924.2177173424407</v>
      </c>
      <c r="AE3" s="2">
        <f t="shared" ref="AE3:AE66" si="2">AD3/F3</f>
        <v>0.92806734530744206</v>
      </c>
    </row>
    <row r="4" spans="1:31" x14ac:dyDescent="0.25">
      <c r="A4" t="s">
        <v>24</v>
      </c>
      <c r="B4" t="s">
        <v>36</v>
      </c>
      <c r="C4">
        <v>11.319683293090501</v>
      </c>
      <c r="D4">
        <v>34</v>
      </c>
      <c r="E4">
        <v>8</v>
      </c>
      <c r="F4">
        <v>9577.7496258687297</v>
      </c>
      <c r="G4" t="s">
        <v>37</v>
      </c>
      <c r="H4">
        <v>1</v>
      </c>
      <c r="I4">
        <v>10</v>
      </c>
      <c r="J4">
        <v>88</v>
      </c>
      <c r="K4">
        <v>2</v>
      </c>
      <c r="L4" t="s">
        <v>26</v>
      </c>
      <c r="M4">
        <v>8.0544792617321495</v>
      </c>
      <c r="N4" t="s">
        <v>38</v>
      </c>
      <c r="O4" t="s">
        <v>28</v>
      </c>
      <c r="P4">
        <v>12</v>
      </c>
      <c r="Q4">
        <v>971</v>
      </c>
      <c r="R4">
        <v>27</v>
      </c>
      <c r="S4">
        <v>30.6880193482842</v>
      </c>
      <c r="T4" t="s">
        <v>29</v>
      </c>
      <c r="U4">
        <v>4.5805926191992201</v>
      </c>
      <c r="V4" t="s">
        <v>39</v>
      </c>
      <c r="W4" t="s">
        <v>40</v>
      </c>
      <c r="X4">
        <v>141.920281771519</v>
      </c>
      <c r="Z4" s="3">
        <f>SupplyData[[#This Row],[Revenue generated]]/SupplyData[[#This Row],[Number of products sold]]</f>
        <v>1197.2187032335912</v>
      </c>
      <c r="AA4" s="3">
        <f>SupplyData[[#This Row],[Manufacturing costs]]/SupplyData[[#This Row],[Production volumes]]</f>
        <v>3.160455133705891E-2</v>
      </c>
      <c r="AB4" s="2">
        <f>SupplyData[[#This Row],[Costs]]/SupplyData[[#This Row],[Revenue generated]]</f>
        <v>1.481770638357509E-2</v>
      </c>
      <c r="AC4" t="str">
        <f t="shared" si="0"/>
        <v>Medium</v>
      </c>
      <c r="AD4" s="3">
        <f t="shared" si="1"/>
        <v>9405.1413247489254</v>
      </c>
      <c r="AE4" s="2">
        <f t="shared" si="2"/>
        <v>0.98197819865184166</v>
      </c>
    </row>
    <row r="5" spans="1:31" x14ac:dyDescent="0.25">
      <c r="A5" t="s">
        <v>32</v>
      </c>
      <c r="B5" t="s">
        <v>41</v>
      </c>
      <c r="C5">
        <v>61.1633430164377</v>
      </c>
      <c r="D5">
        <v>68</v>
      </c>
      <c r="E5">
        <v>83</v>
      </c>
      <c r="F5">
        <v>7766.8364256852301</v>
      </c>
      <c r="G5" t="s">
        <v>34</v>
      </c>
      <c r="H5">
        <v>23</v>
      </c>
      <c r="I5">
        <v>13</v>
      </c>
      <c r="J5">
        <v>59</v>
      </c>
      <c r="K5">
        <v>6</v>
      </c>
      <c r="L5" t="s">
        <v>42</v>
      </c>
      <c r="M5">
        <v>1.7295685635434199</v>
      </c>
      <c r="N5" t="s">
        <v>43</v>
      </c>
      <c r="O5" t="s">
        <v>44</v>
      </c>
      <c r="P5">
        <v>24</v>
      </c>
      <c r="Q5">
        <v>937</v>
      </c>
      <c r="R5">
        <v>18</v>
      </c>
      <c r="S5">
        <v>35.624741397125</v>
      </c>
      <c r="T5" t="s">
        <v>45</v>
      </c>
      <c r="U5">
        <v>4.7466486206477496</v>
      </c>
      <c r="V5" t="s">
        <v>46</v>
      </c>
      <c r="W5" t="s">
        <v>47</v>
      </c>
      <c r="X5">
        <v>254.776159219286</v>
      </c>
      <c r="Z5" s="3">
        <f>SupplyData[[#This Row],[Revenue generated]]/SupplyData[[#This Row],[Number of products sold]]</f>
        <v>93.576342478135302</v>
      </c>
      <c r="AA5" s="3">
        <f>SupplyData[[#This Row],[Manufacturing costs]]/SupplyData[[#This Row],[Production volumes]]</f>
        <v>3.8020001491061897E-2</v>
      </c>
      <c r="AB5" s="2">
        <f>SupplyData[[#This Row],[Costs]]/SupplyData[[#This Row],[Revenue generated]]</f>
        <v>3.2803080334836372E-2</v>
      </c>
      <c r="AC5" t="str">
        <f t="shared" si="0"/>
        <v>Medium</v>
      </c>
      <c r="AD5" s="3">
        <f t="shared" si="1"/>
        <v>7476.4355250688186</v>
      </c>
      <c r="AE5" s="2">
        <f t="shared" si="2"/>
        <v>0.96261014334535944</v>
      </c>
    </row>
    <row r="6" spans="1:31" x14ac:dyDescent="0.25">
      <c r="A6" t="s">
        <v>32</v>
      </c>
      <c r="B6" t="s">
        <v>48</v>
      </c>
      <c r="C6">
        <v>4.8054960363458896</v>
      </c>
      <c r="D6">
        <v>26</v>
      </c>
      <c r="E6">
        <v>871</v>
      </c>
      <c r="F6">
        <v>2686.50515156744</v>
      </c>
      <c r="G6" t="s">
        <v>54</v>
      </c>
      <c r="H6">
        <v>5</v>
      </c>
      <c r="I6">
        <v>3</v>
      </c>
      <c r="J6">
        <v>56</v>
      </c>
      <c r="K6">
        <v>8</v>
      </c>
      <c r="L6" t="s">
        <v>35</v>
      </c>
      <c r="M6">
        <v>3.8905479158706702</v>
      </c>
      <c r="N6" t="s">
        <v>38</v>
      </c>
      <c r="O6" t="s">
        <v>49</v>
      </c>
      <c r="P6">
        <v>5</v>
      </c>
      <c r="Q6">
        <v>414</v>
      </c>
      <c r="R6">
        <v>3</v>
      </c>
      <c r="S6">
        <v>92.065160598712794</v>
      </c>
      <c r="T6" t="s">
        <v>45</v>
      </c>
      <c r="U6">
        <v>3.1455795228330001</v>
      </c>
      <c r="V6" t="s">
        <v>39</v>
      </c>
      <c r="W6" t="s">
        <v>47</v>
      </c>
      <c r="X6">
        <v>923.44063171192204</v>
      </c>
      <c r="Z6" s="3">
        <f>SupplyData[[#This Row],[Revenue generated]]/SupplyData[[#This Row],[Number of products sold]]</f>
        <v>3.0843916780338003</v>
      </c>
      <c r="AA6" s="3">
        <f>SupplyData[[#This Row],[Manufacturing costs]]/SupplyData[[#This Row],[Production volumes]]</f>
        <v>0.22237961497273623</v>
      </c>
      <c r="AB6" s="2">
        <f>SupplyData[[#This Row],[Costs]]/SupplyData[[#This Row],[Revenue generated]]</f>
        <v>0.34373305823483757</v>
      </c>
      <c r="AC6" t="str">
        <f t="shared" si="0"/>
        <v>Medium</v>
      </c>
      <c r="AD6" s="3">
        <f t="shared" si="1"/>
        <v>1670.9993592568053</v>
      </c>
      <c r="AE6" s="2">
        <f t="shared" si="2"/>
        <v>0.62199745207332346</v>
      </c>
    </row>
    <row r="7" spans="1:31" x14ac:dyDescent="0.25">
      <c r="A7" t="s">
        <v>24</v>
      </c>
      <c r="B7" t="s">
        <v>50</v>
      </c>
      <c r="C7">
        <v>1.6999760138659299</v>
      </c>
      <c r="D7">
        <v>87</v>
      </c>
      <c r="E7">
        <v>147</v>
      </c>
      <c r="F7">
        <v>2828.3487459757498</v>
      </c>
      <c r="G7" t="s">
        <v>34</v>
      </c>
      <c r="H7">
        <v>90</v>
      </c>
      <c r="I7">
        <v>27</v>
      </c>
      <c r="J7">
        <v>66</v>
      </c>
      <c r="K7">
        <v>3</v>
      </c>
      <c r="L7" t="s">
        <v>26</v>
      </c>
      <c r="M7">
        <v>4.4440988643822896</v>
      </c>
      <c r="N7" t="s">
        <v>51</v>
      </c>
      <c r="O7" t="s">
        <v>52</v>
      </c>
      <c r="P7">
        <v>10</v>
      </c>
      <c r="Q7">
        <v>104</v>
      </c>
      <c r="R7">
        <v>17</v>
      </c>
      <c r="S7">
        <v>56.766475557431797</v>
      </c>
      <c r="T7" t="s">
        <v>45</v>
      </c>
      <c r="U7">
        <v>2.7791935115711599</v>
      </c>
      <c r="V7" t="s">
        <v>30</v>
      </c>
      <c r="W7" t="s">
        <v>47</v>
      </c>
      <c r="X7">
        <v>235.461236735537</v>
      </c>
      <c r="Z7" s="3">
        <f>SupplyData[[#This Row],[Revenue generated]]/SupplyData[[#This Row],[Number of products sold]]</f>
        <v>19.240467659698979</v>
      </c>
      <c r="AA7" s="3">
        <f>SupplyData[[#This Row],[Manufacturing costs]]/SupplyData[[#This Row],[Production volumes]]</f>
        <v>0.54583149574453649</v>
      </c>
      <c r="AB7" s="2">
        <f>SupplyData[[#This Row],[Costs]]/SupplyData[[#This Row],[Revenue generated]]</f>
        <v>8.3250425560340652E-2</v>
      </c>
      <c r="AC7" t="str">
        <f t="shared" si="0"/>
        <v>Low</v>
      </c>
      <c r="AD7" s="3">
        <f t="shared" si="1"/>
        <v>2536.1210336827808</v>
      </c>
      <c r="AE7" s="2">
        <f t="shared" si="2"/>
        <v>0.89667903835806728</v>
      </c>
    </row>
    <row r="8" spans="1:31" x14ac:dyDescent="0.25">
      <c r="A8" t="s">
        <v>32</v>
      </c>
      <c r="B8" t="s">
        <v>53</v>
      </c>
      <c r="C8">
        <v>4.0783328631079403</v>
      </c>
      <c r="D8">
        <v>48</v>
      </c>
      <c r="E8">
        <v>65</v>
      </c>
      <c r="F8">
        <v>7823.4765595317303</v>
      </c>
      <c r="G8" t="s">
        <v>54</v>
      </c>
      <c r="H8">
        <v>11</v>
      </c>
      <c r="I8">
        <v>15</v>
      </c>
      <c r="J8">
        <v>58</v>
      </c>
      <c r="K8">
        <v>8</v>
      </c>
      <c r="L8" t="s">
        <v>42</v>
      </c>
      <c r="M8">
        <v>3.8807633029519999</v>
      </c>
      <c r="N8" t="s">
        <v>27</v>
      </c>
      <c r="O8" t="s">
        <v>44</v>
      </c>
      <c r="P8">
        <v>14</v>
      </c>
      <c r="Q8">
        <v>314</v>
      </c>
      <c r="R8">
        <v>24</v>
      </c>
      <c r="S8">
        <v>1.0850685695870601</v>
      </c>
      <c r="T8" t="s">
        <v>29</v>
      </c>
      <c r="U8">
        <v>1.0009106193041299</v>
      </c>
      <c r="V8" t="s">
        <v>55</v>
      </c>
      <c r="W8" t="s">
        <v>47</v>
      </c>
      <c r="X8">
        <v>134.36909686103101</v>
      </c>
      <c r="Z8" s="3">
        <f>SupplyData[[#This Row],[Revenue generated]]/SupplyData[[#This Row],[Number of products sold]]</f>
        <v>120.3611778389497</v>
      </c>
      <c r="AA8" s="3">
        <f>SupplyData[[#This Row],[Manufacturing costs]]/SupplyData[[#This Row],[Production volumes]]</f>
        <v>3.4556323872199368E-3</v>
      </c>
      <c r="AB8" s="2">
        <f>SupplyData[[#This Row],[Costs]]/SupplyData[[#This Row],[Revenue generated]]</f>
        <v>1.717511337045197E-2</v>
      </c>
      <c r="AC8" t="str">
        <f t="shared" si="0"/>
        <v>Medium</v>
      </c>
      <c r="AD8" s="3">
        <f t="shared" si="1"/>
        <v>7688.0223941011127</v>
      </c>
      <c r="AE8" s="2">
        <f t="shared" si="2"/>
        <v>0.98268619271753466</v>
      </c>
    </row>
    <row r="9" spans="1:31" x14ac:dyDescent="0.25">
      <c r="A9" t="s">
        <v>56</v>
      </c>
      <c r="B9" t="s">
        <v>57</v>
      </c>
      <c r="C9">
        <v>42.958384382459997</v>
      </c>
      <c r="D9">
        <v>59</v>
      </c>
      <c r="E9">
        <v>426</v>
      </c>
      <c r="F9">
        <v>8496.1038130898305</v>
      </c>
      <c r="G9" t="s">
        <v>34</v>
      </c>
      <c r="H9">
        <v>93</v>
      </c>
      <c r="I9">
        <v>17</v>
      </c>
      <c r="J9">
        <v>11</v>
      </c>
      <c r="K9">
        <v>1</v>
      </c>
      <c r="L9" t="s">
        <v>26</v>
      </c>
      <c r="M9">
        <v>2.3483387844177801</v>
      </c>
      <c r="N9" t="s">
        <v>51</v>
      </c>
      <c r="O9" t="s">
        <v>52</v>
      </c>
      <c r="P9">
        <v>22</v>
      </c>
      <c r="Q9">
        <v>564</v>
      </c>
      <c r="R9">
        <v>1</v>
      </c>
      <c r="S9">
        <v>99.466108603599096</v>
      </c>
      <c r="T9" t="s">
        <v>45</v>
      </c>
      <c r="U9">
        <v>0.39817718685065001</v>
      </c>
      <c r="V9" t="s">
        <v>30</v>
      </c>
      <c r="W9" t="s">
        <v>40</v>
      </c>
      <c r="X9">
        <v>802.05631181755803</v>
      </c>
      <c r="Z9" s="3">
        <f>SupplyData[[#This Row],[Revenue generated]]/SupplyData[[#This Row],[Number of products sold]]</f>
        <v>19.943905664530117</v>
      </c>
      <c r="AA9" s="3">
        <f>SupplyData[[#This Row],[Manufacturing costs]]/SupplyData[[#This Row],[Production volumes]]</f>
        <v>0.17635834858794167</v>
      </c>
      <c r="AB9" s="2">
        <f>SupplyData[[#This Row],[Costs]]/SupplyData[[#This Row],[Revenue generated]]</f>
        <v>9.440283799049641E-2</v>
      </c>
      <c r="AC9" t="str">
        <f t="shared" si="0"/>
        <v>Low</v>
      </c>
      <c r="AD9" s="3">
        <f t="shared" si="1"/>
        <v>7594.5813926686733</v>
      </c>
      <c r="AE9" s="2">
        <f t="shared" si="2"/>
        <v>0.89388990056451589</v>
      </c>
    </row>
    <row r="10" spans="1:31" x14ac:dyDescent="0.25">
      <c r="A10" t="s">
        <v>56</v>
      </c>
      <c r="B10" t="s">
        <v>58</v>
      </c>
      <c r="C10">
        <v>68.717596748527299</v>
      </c>
      <c r="D10">
        <v>78</v>
      </c>
      <c r="E10">
        <v>150</v>
      </c>
      <c r="F10">
        <v>7517.3632106311197</v>
      </c>
      <c r="G10" t="s">
        <v>34</v>
      </c>
      <c r="H10">
        <v>5</v>
      </c>
      <c r="I10">
        <v>10</v>
      </c>
      <c r="J10">
        <v>15</v>
      </c>
      <c r="K10">
        <v>7</v>
      </c>
      <c r="L10" t="s">
        <v>42</v>
      </c>
      <c r="M10">
        <v>3.4047338570830199</v>
      </c>
      <c r="N10" t="s">
        <v>51</v>
      </c>
      <c r="O10" t="s">
        <v>28</v>
      </c>
      <c r="P10">
        <v>13</v>
      </c>
      <c r="Q10">
        <v>769</v>
      </c>
      <c r="R10">
        <v>8</v>
      </c>
      <c r="S10">
        <v>11.423027139565599</v>
      </c>
      <c r="T10" t="s">
        <v>29</v>
      </c>
      <c r="U10">
        <v>2.7098626911099601</v>
      </c>
      <c r="V10" t="s">
        <v>55</v>
      </c>
      <c r="W10" t="s">
        <v>31</v>
      </c>
      <c r="X10">
        <v>505.55713422546398</v>
      </c>
      <c r="Z10" s="3">
        <f>SupplyData[[#This Row],[Revenue generated]]/SupplyData[[#This Row],[Number of products sold]]</f>
        <v>50.115754737540797</v>
      </c>
      <c r="AA10" s="3">
        <f>SupplyData[[#This Row],[Manufacturing costs]]/SupplyData[[#This Row],[Production volumes]]</f>
        <v>1.4854391598914954E-2</v>
      </c>
      <c r="AB10" s="2">
        <f>SupplyData[[#This Row],[Costs]]/SupplyData[[#This Row],[Revenue generated]]</f>
        <v>6.7251923322063339E-2</v>
      </c>
      <c r="AC10" t="str">
        <f t="shared" si="0"/>
        <v>Medium</v>
      </c>
      <c r="AD10" s="3">
        <f t="shared" si="1"/>
        <v>7000.38304926609</v>
      </c>
      <c r="AE10" s="2">
        <f t="shared" si="2"/>
        <v>0.93122852430039404</v>
      </c>
    </row>
    <row r="11" spans="1:31" x14ac:dyDescent="0.25">
      <c r="A11" t="s">
        <v>32</v>
      </c>
      <c r="B11" t="s">
        <v>59</v>
      </c>
      <c r="C11">
        <v>64.0157329412785</v>
      </c>
      <c r="D11">
        <v>35</v>
      </c>
      <c r="E11">
        <v>980</v>
      </c>
      <c r="F11">
        <v>4971.1459875855498</v>
      </c>
      <c r="G11" t="s">
        <v>37</v>
      </c>
      <c r="H11">
        <v>14</v>
      </c>
      <c r="I11">
        <v>27</v>
      </c>
      <c r="J11">
        <v>83</v>
      </c>
      <c r="K11">
        <v>1</v>
      </c>
      <c r="L11" t="s">
        <v>35</v>
      </c>
      <c r="M11">
        <v>7.1666452910482104</v>
      </c>
      <c r="N11" t="s">
        <v>60</v>
      </c>
      <c r="O11" t="s">
        <v>61</v>
      </c>
      <c r="P11">
        <v>29</v>
      </c>
      <c r="Q11">
        <v>963</v>
      </c>
      <c r="R11">
        <v>23</v>
      </c>
      <c r="S11">
        <v>47.957601634951502</v>
      </c>
      <c r="T11" t="s">
        <v>29</v>
      </c>
      <c r="U11">
        <v>3.8446144787675798</v>
      </c>
      <c r="V11" t="s">
        <v>46</v>
      </c>
      <c r="W11" t="s">
        <v>31</v>
      </c>
      <c r="X11">
        <v>995.92946149864099</v>
      </c>
      <c r="Z11" s="3">
        <f>SupplyData[[#This Row],[Revenue generated]]/SupplyData[[#This Row],[Number of products sold]]</f>
        <v>5.0725979465158675</v>
      </c>
      <c r="AA11" s="3">
        <f>SupplyData[[#This Row],[Manufacturing costs]]/SupplyData[[#This Row],[Production volumes]]</f>
        <v>4.9800209382088789E-2</v>
      </c>
      <c r="AB11" s="2">
        <f>SupplyData[[#This Row],[Costs]]/SupplyData[[#This Row],[Revenue generated]]</f>
        <v>0.20034202656405126</v>
      </c>
      <c r="AC11" t="str">
        <f t="shared" si="0"/>
        <v>High</v>
      </c>
      <c r="AD11" s="3">
        <f t="shared" si="1"/>
        <v>3927.2589244519577</v>
      </c>
      <c r="AE11" s="2">
        <f t="shared" si="2"/>
        <v>0.79001078106728451</v>
      </c>
    </row>
    <row r="12" spans="1:31" x14ac:dyDescent="0.25">
      <c r="A12" t="s">
        <v>32</v>
      </c>
      <c r="B12" t="s">
        <v>62</v>
      </c>
      <c r="C12">
        <v>15.707795681912099</v>
      </c>
      <c r="D12">
        <v>11</v>
      </c>
      <c r="E12">
        <v>996</v>
      </c>
      <c r="F12">
        <v>2330.9658020919401</v>
      </c>
      <c r="G12" t="s">
        <v>54</v>
      </c>
      <c r="H12">
        <v>51</v>
      </c>
      <c r="I12">
        <v>13</v>
      </c>
      <c r="J12">
        <v>80</v>
      </c>
      <c r="K12">
        <v>2</v>
      </c>
      <c r="L12" t="s">
        <v>42</v>
      </c>
      <c r="M12">
        <v>8.6732112112786108</v>
      </c>
      <c r="N12" t="s">
        <v>43</v>
      </c>
      <c r="O12" t="s">
        <v>44</v>
      </c>
      <c r="P12">
        <v>18</v>
      </c>
      <c r="Q12">
        <v>830</v>
      </c>
      <c r="R12">
        <v>5</v>
      </c>
      <c r="S12">
        <v>96.527352785310896</v>
      </c>
      <c r="T12" t="s">
        <v>63</v>
      </c>
      <c r="U12">
        <v>1.72731392835594</v>
      </c>
      <c r="V12" t="s">
        <v>30</v>
      </c>
      <c r="W12" t="s">
        <v>31</v>
      </c>
      <c r="X12">
        <v>806.10317770292295</v>
      </c>
      <c r="Z12" s="3">
        <f>SupplyData[[#This Row],[Revenue generated]]/SupplyData[[#This Row],[Number of products sold]]</f>
        <v>2.3403271105340764</v>
      </c>
      <c r="AA12" s="3">
        <f>SupplyData[[#This Row],[Manufacturing costs]]/SupplyData[[#This Row],[Production volumes]]</f>
        <v>0.11629801540398903</v>
      </c>
      <c r="AB12" s="2">
        <f>SupplyData[[#This Row],[Costs]]/SupplyData[[#This Row],[Revenue generated]]</f>
        <v>0.34582368260378615</v>
      </c>
      <c r="AC12" t="str">
        <f t="shared" si="0"/>
        <v>Medium</v>
      </c>
      <c r="AD12" s="3">
        <f t="shared" si="1"/>
        <v>1428.3352716037061</v>
      </c>
      <c r="AE12" s="2">
        <f t="shared" si="2"/>
        <v>0.61276543410539852</v>
      </c>
    </row>
    <row r="13" spans="1:31" x14ac:dyDescent="0.25">
      <c r="A13" t="s">
        <v>32</v>
      </c>
      <c r="B13" t="s">
        <v>64</v>
      </c>
      <c r="C13">
        <v>90.635459982288594</v>
      </c>
      <c r="D13">
        <v>95</v>
      </c>
      <c r="E13">
        <v>960</v>
      </c>
      <c r="F13">
        <v>6099.9441155814502</v>
      </c>
      <c r="G13" t="s">
        <v>34</v>
      </c>
      <c r="H13">
        <v>46</v>
      </c>
      <c r="I13">
        <v>23</v>
      </c>
      <c r="J13">
        <v>60</v>
      </c>
      <c r="K13">
        <v>1</v>
      </c>
      <c r="L13" t="s">
        <v>35</v>
      </c>
      <c r="M13">
        <v>4.5239431243166601</v>
      </c>
      <c r="N13" t="s">
        <v>60</v>
      </c>
      <c r="O13" t="s">
        <v>44</v>
      </c>
      <c r="P13">
        <v>28</v>
      </c>
      <c r="Q13">
        <v>362</v>
      </c>
      <c r="R13">
        <v>11</v>
      </c>
      <c r="S13">
        <v>27.5923630866636</v>
      </c>
      <c r="T13" t="s">
        <v>29</v>
      </c>
      <c r="U13">
        <v>2.1169821372994301E-2</v>
      </c>
      <c r="V13" t="s">
        <v>39</v>
      </c>
      <c r="W13" t="s">
        <v>47</v>
      </c>
      <c r="X13">
        <v>126.72303340940699</v>
      </c>
      <c r="Z13" s="3">
        <f>SupplyData[[#This Row],[Revenue generated]]/SupplyData[[#This Row],[Number of products sold]]</f>
        <v>6.3541084537306771</v>
      </c>
      <c r="AA13" s="3">
        <f>SupplyData[[#This Row],[Manufacturing costs]]/SupplyData[[#This Row],[Production volumes]]</f>
        <v>7.6221997476971268E-2</v>
      </c>
      <c r="AB13" s="2">
        <f>SupplyData[[#This Row],[Costs]]/SupplyData[[#This Row],[Revenue generated]]</f>
        <v>2.0774458094740707E-2</v>
      </c>
      <c r="AC13" t="str">
        <f t="shared" si="0"/>
        <v>Medium</v>
      </c>
      <c r="AD13" s="3">
        <f t="shared" si="1"/>
        <v>5945.6287190853791</v>
      </c>
      <c r="AE13" s="2">
        <f t="shared" si="2"/>
        <v>0.97470216225393047</v>
      </c>
    </row>
    <row r="14" spans="1:31" x14ac:dyDescent="0.25">
      <c r="A14" t="s">
        <v>24</v>
      </c>
      <c r="B14" t="s">
        <v>65</v>
      </c>
      <c r="C14">
        <v>71.213389075359999</v>
      </c>
      <c r="D14">
        <v>41</v>
      </c>
      <c r="E14">
        <v>336</v>
      </c>
      <c r="F14">
        <v>2873.74144602144</v>
      </c>
      <c r="G14" t="s">
        <v>37</v>
      </c>
      <c r="H14">
        <v>100</v>
      </c>
      <c r="I14">
        <v>30</v>
      </c>
      <c r="J14">
        <v>85</v>
      </c>
      <c r="K14">
        <v>4</v>
      </c>
      <c r="L14" t="s">
        <v>35</v>
      </c>
      <c r="M14">
        <v>1.32527401018452</v>
      </c>
      <c r="N14" t="s">
        <v>51</v>
      </c>
      <c r="O14" t="s">
        <v>44</v>
      </c>
      <c r="P14">
        <v>3</v>
      </c>
      <c r="Q14">
        <v>563</v>
      </c>
      <c r="R14">
        <v>3</v>
      </c>
      <c r="S14">
        <v>32.321286213424003</v>
      </c>
      <c r="T14" t="s">
        <v>45</v>
      </c>
      <c r="U14">
        <v>2.1612537475559099</v>
      </c>
      <c r="V14" t="s">
        <v>30</v>
      </c>
      <c r="W14" t="s">
        <v>31</v>
      </c>
      <c r="X14">
        <v>402.96878907376998</v>
      </c>
      <c r="Z14" s="3">
        <f>SupplyData[[#This Row],[Revenue generated]]/SupplyData[[#This Row],[Number of products sold]]</f>
        <v>8.5528019226828569</v>
      </c>
      <c r="AA14" s="3">
        <f>SupplyData[[#This Row],[Manufacturing costs]]/SupplyData[[#This Row],[Production volumes]]</f>
        <v>5.740903412686324E-2</v>
      </c>
      <c r="AB14" s="2">
        <f>SupplyData[[#This Row],[Costs]]/SupplyData[[#This Row],[Revenue generated]]</f>
        <v>0.14022444142692841</v>
      </c>
      <c r="AC14" t="str">
        <f t="shared" si="0"/>
        <v>Low</v>
      </c>
      <c r="AD14" s="3">
        <f t="shared" si="1"/>
        <v>2438.4513707342458</v>
      </c>
      <c r="AE14" s="2">
        <f t="shared" si="2"/>
        <v>0.84852844855272802</v>
      </c>
    </row>
    <row r="15" spans="1:31" x14ac:dyDescent="0.25">
      <c r="A15" t="s">
        <v>32</v>
      </c>
      <c r="B15" t="s">
        <v>66</v>
      </c>
      <c r="C15">
        <v>16.160393317379899</v>
      </c>
      <c r="D15">
        <v>5</v>
      </c>
      <c r="E15">
        <v>249</v>
      </c>
      <c r="F15">
        <v>4052.7384162378598</v>
      </c>
      <c r="G15" t="s">
        <v>54</v>
      </c>
      <c r="H15">
        <v>80</v>
      </c>
      <c r="I15">
        <v>8</v>
      </c>
      <c r="J15">
        <v>48</v>
      </c>
      <c r="K15">
        <v>9</v>
      </c>
      <c r="L15" t="s">
        <v>35</v>
      </c>
      <c r="M15">
        <v>9.5372830611083295</v>
      </c>
      <c r="N15" t="s">
        <v>43</v>
      </c>
      <c r="O15" t="s">
        <v>52</v>
      </c>
      <c r="P15">
        <v>23</v>
      </c>
      <c r="Q15">
        <v>173</v>
      </c>
      <c r="R15">
        <v>10</v>
      </c>
      <c r="S15">
        <v>97.829050110173199</v>
      </c>
      <c r="T15" t="s">
        <v>29</v>
      </c>
      <c r="U15">
        <v>1.63107423007153</v>
      </c>
      <c r="V15" t="s">
        <v>30</v>
      </c>
      <c r="W15" t="s">
        <v>31</v>
      </c>
      <c r="X15">
        <v>547.24100516096803</v>
      </c>
      <c r="Z15" s="3">
        <f>SupplyData[[#This Row],[Revenue generated]]/SupplyData[[#This Row],[Number of products sold]]</f>
        <v>16.276057896537591</v>
      </c>
      <c r="AA15" s="3">
        <f>SupplyData[[#This Row],[Manufacturing costs]]/SupplyData[[#This Row],[Production volumes]]</f>
        <v>0.56548583878712833</v>
      </c>
      <c r="AB15" s="2">
        <f>SupplyData[[#This Row],[Costs]]/SupplyData[[#This Row],[Revenue generated]]</f>
        <v>0.13502993506029673</v>
      </c>
      <c r="AC15" t="str">
        <f t="shared" si="0"/>
        <v>Low</v>
      </c>
      <c r="AD15" s="3">
        <f t="shared" si="1"/>
        <v>3407.6683609667184</v>
      </c>
      <c r="AE15" s="2">
        <f t="shared" si="2"/>
        <v>0.84083106556135512</v>
      </c>
    </row>
    <row r="16" spans="1:31" x14ac:dyDescent="0.25">
      <c r="A16" t="s">
        <v>32</v>
      </c>
      <c r="B16" t="s">
        <v>67</v>
      </c>
      <c r="C16">
        <v>99.171328638624104</v>
      </c>
      <c r="D16">
        <v>26</v>
      </c>
      <c r="E16">
        <v>562</v>
      </c>
      <c r="F16">
        <v>8653.5709264697998</v>
      </c>
      <c r="G16" t="s">
        <v>34</v>
      </c>
      <c r="H16">
        <v>54</v>
      </c>
      <c r="I16">
        <v>29</v>
      </c>
      <c r="J16">
        <v>78</v>
      </c>
      <c r="K16">
        <v>5</v>
      </c>
      <c r="L16" t="s">
        <v>26</v>
      </c>
      <c r="M16">
        <v>2.0397701894493299</v>
      </c>
      <c r="N16" t="s">
        <v>38</v>
      </c>
      <c r="O16" t="s">
        <v>44</v>
      </c>
      <c r="P16">
        <v>25</v>
      </c>
      <c r="Q16">
        <v>558</v>
      </c>
      <c r="R16">
        <v>14</v>
      </c>
      <c r="S16">
        <v>5.7914366298629796</v>
      </c>
      <c r="T16" t="s">
        <v>29</v>
      </c>
      <c r="U16">
        <v>0.100682851565093</v>
      </c>
      <c r="V16" t="s">
        <v>39</v>
      </c>
      <c r="W16" t="s">
        <v>31</v>
      </c>
      <c r="X16">
        <v>929.23528996088896</v>
      </c>
      <c r="Z16" s="3">
        <f>SupplyData[[#This Row],[Revenue generated]]/SupplyData[[#This Row],[Number of products sold]]</f>
        <v>15.39781303642313</v>
      </c>
      <c r="AA16" s="3">
        <f>SupplyData[[#This Row],[Manufacturing costs]]/SupplyData[[#This Row],[Production volumes]]</f>
        <v>1.0378918691510716E-2</v>
      </c>
      <c r="AB16" s="2">
        <f>SupplyData[[#This Row],[Costs]]/SupplyData[[#This Row],[Revenue generated]]</f>
        <v>0.10738171534695769</v>
      </c>
      <c r="AC16" t="str">
        <f t="shared" si="0"/>
        <v>Medium</v>
      </c>
      <c r="AD16" s="3">
        <f t="shared" si="1"/>
        <v>7718.5441998790484</v>
      </c>
      <c r="AE16" s="2">
        <f t="shared" si="2"/>
        <v>0.89194903069082565</v>
      </c>
    </row>
    <row r="17" spans="1:31" x14ac:dyDescent="0.25">
      <c r="A17" t="s">
        <v>32</v>
      </c>
      <c r="B17" t="s">
        <v>68</v>
      </c>
      <c r="C17">
        <v>36.989244928626903</v>
      </c>
      <c r="D17">
        <v>94</v>
      </c>
      <c r="E17">
        <v>469</v>
      </c>
      <c r="F17">
        <v>5442.0867853976697</v>
      </c>
      <c r="G17" t="s">
        <v>54</v>
      </c>
      <c r="H17">
        <v>9</v>
      </c>
      <c r="I17">
        <v>8</v>
      </c>
      <c r="J17">
        <v>69</v>
      </c>
      <c r="K17">
        <v>7</v>
      </c>
      <c r="L17" t="s">
        <v>26</v>
      </c>
      <c r="M17">
        <v>2.4220397232752</v>
      </c>
      <c r="N17" t="s">
        <v>38</v>
      </c>
      <c r="O17" t="s">
        <v>52</v>
      </c>
      <c r="P17">
        <v>14</v>
      </c>
      <c r="Q17">
        <v>580</v>
      </c>
      <c r="R17">
        <v>7</v>
      </c>
      <c r="S17">
        <v>97.121281751474299</v>
      </c>
      <c r="T17" t="s">
        <v>63</v>
      </c>
      <c r="U17">
        <v>2.2644057611985402</v>
      </c>
      <c r="V17" t="s">
        <v>55</v>
      </c>
      <c r="W17" t="s">
        <v>31</v>
      </c>
      <c r="X17">
        <v>127.861800001625</v>
      </c>
      <c r="Z17" s="3">
        <f>SupplyData[[#This Row],[Revenue generated]]/SupplyData[[#This Row],[Number of products sold]]</f>
        <v>11.603596557351109</v>
      </c>
      <c r="AA17" s="3">
        <f>SupplyData[[#This Row],[Manufacturing costs]]/SupplyData[[#This Row],[Production volumes]]</f>
        <v>0.16745048577840396</v>
      </c>
      <c r="AB17" s="2">
        <f>SupplyData[[#This Row],[Costs]]/SupplyData[[#This Row],[Revenue generated]]</f>
        <v>2.3494994667249091E-2</v>
      </c>
      <c r="AC17" t="str">
        <f t="shared" si="0"/>
        <v>Medium</v>
      </c>
      <c r="AD17" s="3">
        <f t="shared" si="1"/>
        <v>5217.1037036445705</v>
      </c>
      <c r="AE17" s="2">
        <f t="shared" si="2"/>
        <v>0.95865867439733254</v>
      </c>
    </row>
    <row r="18" spans="1:31" x14ac:dyDescent="0.25">
      <c r="A18" t="s">
        <v>32</v>
      </c>
      <c r="B18" t="s">
        <v>69</v>
      </c>
      <c r="C18">
        <v>7.5471721097912701</v>
      </c>
      <c r="D18">
        <v>74</v>
      </c>
      <c r="E18">
        <v>280</v>
      </c>
      <c r="F18">
        <v>6453.7979681762799</v>
      </c>
      <c r="G18" t="s">
        <v>34</v>
      </c>
      <c r="H18">
        <v>2</v>
      </c>
      <c r="I18">
        <v>5</v>
      </c>
      <c r="J18">
        <v>78</v>
      </c>
      <c r="K18">
        <v>1</v>
      </c>
      <c r="L18" t="s">
        <v>26</v>
      </c>
      <c r="M18">
        <v>4.1913245857054999</v>
      </c>
      <c r="N18" t="s">
        <v>38</v>
      </c>
      <c r="O18" t="s">
        <v>52</v>
      </c>
      <c r="P18">
        <v>3</v>
      </c>
      <c r="Q18">
        <v>399</v>
      </c>
      <c r="R18">
        <v>21</v>
      </c>
      <c r="S18">
        <v>77.106342497849994</v>
      </c>
      <c r="T18" t="s">
        <v>63</v>
      </c>
      <c r="U18">
        <v>1.01256308925804</v>
      </c>
      <c r="V18" t="s">
        <v>39</v>
      </c>
      <c r="W18" t="s">
        <v>47</v>
      </c>
      <c r="X18">
        <v>865.52577977123997</v>
      </c>
      <c r="Z18" s="3">
        <f>SupplyData[[#This Row],[Revenue generated]]/SupplyData[[#This Row],[Number of products sold]]</f>
        <v>23.049278457772427</v>
      </c>
      <c r="AA18" s="3">
        <f>SupplyData[[#This Row],[Manufacturing costs]]/SupplyData[[#This Row],[Production volumes]]</f>
        <v>0.19324897869135338</v>
      </c>
      <c r="AB18" s="2">
        <f>SupplyData[[#This Row],[Costs]]/SupplyData[[#This Row],[Revenue generated]]</f>
        <v>0.13411107444626455</v>
      </c>
      <c r="AC18" t="str">
        <f t="shared" si="0"/>
        <v>Medium</v>
      </c>
      <c r="AD18" s="3">
        <f t="shared" si="1"/>
        <v>5511.1658459071896</v>
      </c>
      <c r="AE18" s="2">
        <f t="shared" si="2"/>
        <v>0.85394148888496113</v>
      </c>
    </row>
    <row r="19" spans="1:31" x14ac:dyDescent="0.25">
      <c r="A19" t="s">
        <v>56</v>
      </c>
      <c r="B19" t="s">
        <v>70</v>
      </c>
      <c r="C19">
        <v>81.462534369237005</v>
      </c>
      <c r="D19">
        <v>82</v>
      </c>
      <c r="E19">
        <v>126</v>
      </c>
      <c r="F19">
        <v>2629.39643484526</v>
      </c>
      <c r="G19" t="s">
        <v>34</v>
      </c>
      <c r="H19">
        <v>45</v>
      </c>
      <c r="I19">
        <v>17</v>
      </c>
      <c r="J19">
        <v>85</v>
      </c>
      <c r="K19">
        <v>9</v>
      </c>
      <c r="L19" t="s">
        <v>42</v>
      </c>
      <c r="M19">
        <v>3.5854189582323399</v>
      </c>
      <c r="N19" t="s">
        <v>38</v>
      </c>
      <c r="O19" t="s">
        <v>61</v>
      </c>
      <c r="P19">
        <v>7</v>
      </c>
      <c r="Q19">
        <v>453</v>
      </c>
      <c r="R19">
        <v>16</v>
      </c>
      <c r="S19">
        <v>47.679680368355299</v>
      </c>
      <c r="T19" t="s">
        <v>45</v>
      </c>
      <c r="U19">
        <v>0.102020754918176</v>
      </c>
      <c r="V19" t="s">
        <v>39</v>
      </c>
      <c r="W19" t="s">
        <v>40</v>
      </c>
      <c r="X19">
        <v>670.93439079241</v>
      </c>
      <c r="Z19" s="3">
        <f>SupplyData[[#This Row],[Revenue generated]]/SupplyData[[#This Row],[Number of products sold]]</f>
        <v>20.868225673375079</v>
      </c>
      <c r="AA19" s="3">
        <f>SupplyData[[#This Row],[Manufacturing costs]]/SupplyData[[#This Row],[Production volumes]]</f>
        <v>0.10525315754603819</v>
      </c>
      <c r="AB19" s="2">
        <f>SupplyData[[#This Row],[Costs]]/SupplyData[[#This Row],[Revenue generated]]</f>
        <v>0.25516669221158905</v>
      </c>
      <c r="AC19" t="str">
        <f t="shared" si="0"/>
        <v>Medium</v>
      </c>
      <c r="AD19" s="3">
        <f t="shared" si="1"/>
        <v>1910.7823636844951</v>
      </c>
      <c r="AE19" s="2">
        <f t="shared" si="2"/>
        <v>0.72669999029528032</v>
      </c>
    </row>
    <row r="20" spans="1:31" x14ac:dyDescent="0.25">
      <c r="A20" t="s">
        <v>24</v>
      </c>
      <c r="B20" t="s">
        <v>71</v>
      </c>
      <c r="C20">
        <v>36.4436277704609</v>
      </c>
      <c r="D20">
        <v>23</v>
      </c>
      <c r="E20">
        <v>620</v>
      </c>
      <c r="F20">
        <v>9364.6735050761708</v>
      </c>
      <c r="G20" t="s">
        <v>37</v>
      </c>
      <c r="H20">
        <v>10</v>
      </c>
      <c r="I20">
        <v>10</v>
      </c>
      <c r="J20">
        <v>46</v>
      </c>
      <c r="K20">
        <v>8</v>
      </c>
      <c r="L20" t="s">
        <v>42</v>
      </c>
      <c r="M20">
        <v>4.3392247141107001</v>
      </c>
      <c r="N20" t="s">
        <v>60</v>
      </c>
      <c r="O20" t="s">
        <v>44</v>
      </c>
      <c r="P20">
        <v>18</v>
      </c>
      <c r="Q20">
        <v>374</v>
      </c>
      <c r="R20">
        <v>17</v>
      </c>
      <c r="S20">
        <v>27.107980854843898</v>
      </c>
      <c r="T20" t="s">
        <v>29</v>
      </c>
      <c r="U20">
        <v>2.2319391107292601</v>
      </c>
      <c r="V20" t="s">
        <v>55</v>
      </c>
      <c r="W20" t="s">
        <v>47</v>
      </c>
      <c r="X20">
        <v>593.48025872065102</v>
      </c>
      <c r="Z20" s="3">
        <f>SupplyData[[#This Row],[Revenue generated]]/SupplyData[[#This Row],[Number of products sold]]</f>
        <v>15.104312104961567</v>
      </c>
      <c r="AA20" s="3">
        <f>SupplyData[[#This Row],[Manufacturing costs]]/SupplyData[[#This Row],[Production volumes]]</f>
        <v>7.248123223220293E-2</v>
      </c>
      <c r="AB20" s="2">
        <f>SupplyData[[#This Row],[Costs]]/SupplyData[[#This Row],[Revenue generated]]</f>
        <v>6.3374367339016344E-2</v>
      </c>
      <c r="AC20" t="str">
        <f t="shared" si="0"/>
        <v>Medium</v>
      </c>
      <c r="AD20" s="3">
        <f t="shared" si="1"/>
        <v>8744.0852655006765</v>
      </c>
      <c r="AE20" s="2">
        <f t="shared" si="2"/>
        <v>0.93373092620483766</v>
      </c>
    </row>
    <row r="21" spans="1:31" x14ac:dyDescent="0.25">
      <c r="A21" t="s">
        <v>32</v>
      </c>
      <c r="B21" t="s">
        <v>72</v>
      </c>
      <c r="C21">
        <v>51.123870087964697</v>
      </c>
      <c r="D21">
        <v>100</v>
      </c>
      <c r="E21">
        <v>187</v>
      </c>
      <c r="F21">
        <v>2553.4955849912099</v>
      </c>
      <c r="G21" t="s">
        <v>37</v>
      </c>
      <c r="H21">
        <v>48</v>
      </c>
      <c r="I21">
        <v>11</v>
      </c>
      <c r="J21">
        <v>94</v>
      </c>
      <c r="K21">
        <v>3</v>
      </c>
      <c r="L21" t="s">
        <v>35</v>
      </c>
      <c r="M21">
        <v>4.7426358828418698</v>
      </c>
      <c r="N21" t="s">
        <v>51</v>
      </c>
      <c r="O21" t="s">
        <v>61</v>
      </c>
      <c r="P21">
        <v>20</v>
      </c>
      <c r="Q21">
        <v>694</v>
      </c>
      <c r="R21">
        <v>16</v>
      </c>
      <c r="S21">
        <v>82.373320587990193</v>
      </c>
      <c r="T21" t="s">
        <v>45</v>
      </c>
      <c r="U21">
        <v>3.64645086541702</v>
      </c>
      <c r="V21" t="s">
        <v>30</v>
      </c>
      <c r="W21" t="s">
        <v>40</v>
      </c>
      <c r="X21">
        <v>477.30763109090299</v>
      </c>
      <c r="Z21" s="3">
        <f>SupplyData[[#This Row],[Revenue generated]]/SupplyData[[#This Row],[Number of products sold]]</f>
        <v>13.655056604231069</v>
      </c>
      <c r="AA21" s="3">
        <f>SupplyData[[#This Row],[Manufacturing costs]]/SupplyData[[#This Row],[Production volumes]]</f>
        <v>0.11869354551583601</v>
      </c>
      <c r="AB21" s="2">
        <f>SupplyData[[#This Row],[Costs]]/SupplyData[[#This Row],[Revenue generated]]</f>
        <v>0.18692322551736312</v>
      </c>
      <c r="AC21" t="str">
        <f t="shared" si="0"/>
        <v>Medium</v>
      </c>
      <c r="AD21" s="3">
        <f t="shared" si="1"/>
        <v>1993.8146333123166</v>
      </c>
      <c r="AE21" s="2">
        <f t="shared" si="2"/>
        <v>0.78081773277049937</v>
      </c>
    </row>
    <row r="22" spans="1:31" x14ac:dyDescent="0.25">
      <c r="A22" t="s">
        <v>32</v>
      </c>
      <c r="B22" t="s">
        <v>73</v>
      </c>
      <c r="C22">
        <v>96.341072439963298</v>
      </c>
      <c r="D22">
        <v>22</v>
      </c>
      <c r="E22">
        <v>320</v>
      </c>
      <c r="F22">
        <v>8128.0276968511898</v>
      </c>
      <c r="G22" t="s">
        <v>37</v>
      </c>
      <c r="H22">
        <v>27</v>
      </c>
      <c r="I22">
        <v>12</v>
      </c>
      <c r="J22">
        <v>68</v>
      </c>
      <c r="K22">
        <v>6</v>
      </c>
      <c r="L22" t="s">
        <v>35</v>
      </c>
      <c r="M22">
        <v>8.8783346509268402</v>
      </c>
      <c r="N22" t="s">
        <v>38</v>
      </c>
      <c r="O22" t="s">
        <v>61</v>
      </c>
      <c r="P22">
        <v>29</v>
      </c>
      <c r="Q22">
        <v>309</v>
      </c>
      <c r="R22">
        <v>6</v>
      </c>
      <c r="S22">
        <v>65.686259608488598</v>
      </c>
      <c r="T22" t="s">
        <v>63</v>
      </c>
      <c r="U22">
        <v>4.2314165735345304</v>
      </c>
      <c r="V22" t="s">
        <v>39</v>
      </c>
      <c r="W22" t="s">
        <v>31</v>
      </c>
      <c r="X22">
        <v>493.871215316205</v>
      </c>
      <c r="Z22" s="3">
        <f>SupplyData[[#This Row],[Revenue generated]]/SupplyData[[#This Row],[Number of products sold]]</f>
        <v>25.400086552659968</v>
      </c>
      <c r="AA22" s="3">
        <f>SupplyData[[#This Row],[Manufacturing costs]]/SupplyData[[#This Row],[Production volumes]]</f>
        <v>0.2125768919368563</v>
      </c>
      <c r="AB22" s="2">
        <f>SupplyData[[#This Row],[Costs]]/SupplyData[[#This Row],[Revenue generated]]</f>
        <v>6.0761507432797193E-2</v>
      </c>
      <c r="AC22" t="str">
        <f t="shared" si="0"/>
        <v>Medium</v>
      </c>
      <c r="AD22" s="3">
        <f t="shared" si="1"/>
        <v>7568.4702219264964</v>
      </c>
      <c r="AE22" s="2">
        <f t="shared" si="2"/>
        <v>0.93115704131502075</v>
      </c>
    </row>
    <row r="23" spans="1:31" x14ac:dyDescent="0.25">
      <c r="A23" t="s">
        <v>56</v>
      </c>
      <c r="B23" t="s">
        <v>74</v>
      </c>
      <c r="C23">
        <v>84.893868984950799</v>
      </c>
      <c r="D23">
        <v>60</v>
      </c>
      <c r="E23">
        <v>601</v>
      </c>
      <c r="F23">
        <v>7087.0526963574302</v>
      </c>
      <c r="G23" t="s">
        <v>37</v>
      </c>
      <c r="H23">
        <v>69</v>
      </c>
      <c r="I23">
        <v>25</v>
      </c>
      <c r="J23">
        <v>7</v>
      </c>
      <c r="K23">
        <v>6</v>
      </c>
      <c r="L23" t="s">
        <v>26</v>
      </c>
      <c r="M23">
        <v>6.0378837692182898</v>
      </c>
      <c r="N23" t="s">
        <v>43</v>
      </c>
      <c r="O23" t="s">
        <v>61</v>
      </c>
      <c r="P23">
        <v>19</v>
      </c>
      <c r="Q23">
        <v>791</v>
      </c>
      <c r="R23">
        <v>4</v>
      </c>
      <c r="S23">
        <v>61.735728954160898</v>
      </c>
      <c r="T23" t="s">
        <v>29</v>
      </c>
      <c r="U23">
        <v>1.8607567631014899E-2</v>
      </c>
      <c r="V23" t="s">
        <v>39</v>
      </c>
      <c r="W23" t="s">
        <v>40</v>
      </c>
      <c r="X23">
        <v>523.36091472015801</v>
      </c>
      <c r="Z23" s="3">
        <f>SupplyData[[#This Row],[Revenue generated]]/SupplyData[[#This Row],[Number of products sold]]</f>
        <v>11.792100992275259</v>
      </c>
      <c r="AA23" s="3">
        <f>SupplyData[[#This Row],[Manufacturing costs]]/SupplyData[[#This Row],[Production volumes]]</f>
        <v>7.8047697792870921E-2</v>
      </c>
      <c r="AB23" s="2">
        <f>SupplyData[[#This Row],[Costs]]/SupplyData[[#This Row],[Revenue generated]]</f>
        <v>7.3847470470926879E-2</v>
      </c>
      <c r="AC23" t="str">
        <f t="shared" si="0"/>
        <v>Low</v>
      </c>
      <c r="AD23" s="3">
        <f t="shared" si="1"/>
        <v>6501.9560526831119</v>
      </c>
      <c r="AE23" s="2">
        <f t="shared" si="2"/>
        <v>0.91744147126561604</v>
      </c>
    </row>
    <row r="24" spans="1:31" x14ac:dyDescent="0.25">
      <c r="A24" t="s">
        <v>24</v>
      </c>
      <c r="B24" t="s">
        <v>75</v>
      </c>
      <c r="C24">
        <v>27.679780886501899</v>
      </c>
      <c r="D24">
        <v>55</v>
      </c>
      <c r="E24">
        <v>884</v>
      </c>
      <c r="F24">
        <v>2390.8078665561702</v>
      </c>
      <c r="G24" t="s">
        <v>37</v>
      </c>
      <c r="H24">
        <v>71</v>
      </c>
      <c r="I24">
        <v>1</v>
      </c>
      <c r="J24">
        <v>63</v>
      </c>
      <c r="K24">
        <v>10</v>
      </c>
      <c r="L24" t="s">
        <v>35</v>
      </c>
      <c r="M24">
        <v>9.5676489209230393</v>
      </c>
      <c r="N24" t="s">
        <v>51</v>
      </c>
      <c r="O24" t="s">
        <v>44</v>
      </c>
      <c r="P24">
        <v>22</v>
      </c>
      <c r="Q24">
        <v>780</v>
      </c>
      <c r="R24">
        <v>28</v>
      </c>
      <c r="S24">
        <v>50.120839612977299</v>
      </c>
      <c r="T24" t="s">
        <v>45</v>
      </c>
      <c r="U24">
        <v>2.5912754732111098</v>
      </c>
      <c r="V24" t="s">
        <v>46</v>
      </c>
      <c r="W24" t="s">
        <v>40</v>
      </c>
      <c r="X24">
        <v>205.57199582694699</v>
      </c>
      <c r="Z24" s="3">
        <f>SupplyData[[#This Row],[Revenue generated]]/SupplyData[[#This Row],[Number of products sold]]</f>
        <v>2.7045337856970253</v>
      </c>
      <c r="AA24" s="3">
        <f>SupplyData[[#This Row],[Manufacturing costs]]/SupplyData[[#This Row],[Production volumes]]</f>
        <v>6.4257486683304235E-2</v>
      </c>
      <c r="AB24" s="2">
        <f>SupplyData[[#This Row],[Costs]]/SupplyData[[#This Row],[Revenue generated]]</f>
        <v>8.5984322999180338E-2</v>
      </c>
      <c r="AC24" t="str">
        <f t="shared" si="0"/>
        <v>Low</v>
      </c>
      <c r="AD24" s="3">
        <f t="shared" si="1"/>
        <v>2135.115031116246</v>
      </c>
      <c r="AE24" s="2">
        <f t="shared" si="2"/>
        <v>0.89305170063362893</v>
      </c>
    </row>
    <row r="25" spans="1:31" x14ac:dyDescent="0.25">
      <c r="A25" t="s">
        <v>56</v>
      </c>
      <c r="B25" t="s">
        <v>76</v>
      </c>
      <c r="C25">
        <v>4.3243411858641601</v>
      </c>
      <c r="D25">
        <v>30</v>
      </c>
      <c r="E25">
        <v>391</v>
      </c>
      <c r="F25">
        <v>8858.3675710114803</v>
      </c>
      <c r="G25" t="s">
        <v>37</v>
      </c>
      <c r="H25">
        <v>84</v>
      </c>
      <c r="I25">
        <v>5</v>
      </c>
      <c r="J25">
        <v>29</v>
      </c>
      <c r="K25">
        <v>7</v>
      </c>
      <c r="L25" t="s">
        <v>35</v>
      </c>
      <c r="M25">
        <v>2.92485760114555</v>
      </c>
      <c r="N25" t="s">
        <v>43</v>
      </c>
      <c r="O25" t="s">
        <v>44</v>
      </c>
      <c r="P25">
        <v>11</v>
      </c>
      <c r="Q25">
        <v>568</v>
      </c>
      <c r="R25">
        <v>29</v>
      </c>
      <c r="S25">
        <v>98.6099572427038</v>
      </c>
      <c r="T25" t="s">
        <v>29</v>
      </c>
      <c r="U25">
        <v>1.3422915627227301</v>
      </c>
      <c r="V25" t="s">
        <v>46</v>
      </c>
      <c r="W25" t="s">
        <v>47</v>
      </c>
      <c r="X25">
        <v>196.329446112412</v>
      </c>
      <c r="Z25" s="3">
        <f>SupplyData[[#This Row],[Revenue generated]]/SupplyData[[#This Row],[Number of products sold]]</f>
        <v>22.655671537113761</v>
      </c>
      <c r="AA25" s="3">
        <f>SupplyData[[#This Row],[Manufacturing costs]]/SupplyData[[#This Row],[Production volumes]]</f>
        <v>0.17360907965264755</v>
      </c>
      <c r="AB25" s="2">
        <f>SupplyData[[#This Row],[Costs]]/SupplyData[[#This Row],[Revenue generated]]</f>
        <v>2.2163163194411722E-2</v>
      </c>
      <c r="AC25" t="str">
        <f t="shared" si="0"/>
        <v>Low</v>
      </c>
      <c r="AD25" s="3">
        <f t="shared" si="1"/>
        <v>8563.4281676563642</v>
      </c>
      <c r="AE25" s="2">
        <f t="shared" si="2"/>
        <v>0.9667049937823432</v>
      </c>
    </row>
    <row r="26" spans="1:31" x14ac:dyDescent="0.25">
      <c r="A26" t="s">
        <v>24</v>
      </c>
      <c r="B26" t="s">
        <v>77</v>
      </c>
      <c r="C26">
        <v>4.1563083593111001</v>
      </c>
      <c r="D26">
        <v>32</v>
      </c>
      <c r="E26">
        <v>209</v>
      </c>
      <c r="F26">
        <v>9049.0778609398894</v>
      </c>
      <c r="G26" t="s">
        <v>54</v>
      </c>
      <c r="H26">
        <v>4</v>
      </c>
      <c r="I26">
        <v>26</v>
      </c>
      <c r="J26">
        <v>2</v>
      </c>
      <c r="K26">
        <v>8</v>
      </c>
      <c r="L26" t="s">
        <v>42</v>
      </c>
      <c r="M26">
        <v>9.7412916892843597</v>
      </c>
      <c r="N26" t="s">
        <v>60</v>
      </c>
      <c r="O26" t="s">
        <v>52</v>
      </c>
      <c r="P26">
        <v>28</v>
      </c>
      <c r="Q26">
        <v>447</v>
      </c>
      <c r="R26">
        <v>3</v>
      </c>
      <c r="S26">
        <v>40.382359702924802</v>
      </c>
      <c r="T26" t="s">
        <v>29</v>
      </c>
      <c r="U26">
        <v>3.69131029262872</v>
      </c>
      <c r="V26" t="s">
        <v>39</v>
      </c>
      <c r="W26" t="s">
        <v>47</v>
      </c>
      <c r="X26">
        <v>758.72477260293795</v>
      </c>
      <c r="Z26" s="3">
        <f>SupplyData[[#This Row],[Revenue generated]]/SupplyData[[#This Row],[Number of products sold]]</f>
        <v>43.297023258085595</v>
      </c>
      <c r="AA26" s="3">
        <f>SupplyData[[#This Row],[Manufacturing costs]]/SupplyData[[#This Row],[Production volumes]]</f>
        <v>9.0340849447259064E-2</v>
      </c>
      <c r="AB26" s="2">
        <f>SupplyData[[#This Row],[Costs]]/SupplyData[[#This Row],[Revenue generated]]</f>
        <v>8.3845534789567217E-2</v>
      </c>
      <c r="AC26" t="str">
        <f t="shared" si="0"/>
        <v>High</v>
      </c>
      <c r="AD26" s="3">
        <f t="shared" si="1"/>
        <v>8249.9707286340272</v>
      </c>
      <c r="AE26" s="2">
        <f t="shared" si="2"/>
        <v>0.91169187130600482</v>
      </c>
    </row>
    <row r="27" spans="1:31" x14ac:dyDescent="0.25">
      <c r="A27" t="s">
        <v>24</v>
      </c>
      <c r="B27" t="s">
        <v>78</v>
      </c>
      <c r="C27">
        <v>39.629343985092603</v>
      </c>
      <c r="D27">
        <v>73</v>
      </c>
      <c r="E27">
        <v>142</v>
      </c>
      <c r="F27">
        <v>2174.7770543506499</v>
      </c>
      <c r="G27" t="s">
        <v>54</v>
      </c>
      <c r="H27">
        <v>82</v>
      </c>
      <c r="I27">
        <v>11</v>
      </c>
      <c r="J27">
        <v>52</v>
      </c>
      <c r="K27">
        <v>3</v>
      </c>
      <c r="L27" t="s">
        <v>42</v>
      </c>
      <c r="M27">
        <v>2.2310736812817198</v>
      </c>
      <c r="N27" t="s">
        <v>51</v>
      </c>
      <c r="O27" t="s">
        <v>44</v>
      </c>
      <c r="P27">
        <v>19</v>
      </c>
      <c r="Q27">
        <v>934</v>
      </c>
      <c r="R27">
        <v>23</v>
      </c>
      <c r="S27">
        <v>78.280383118415301</v>
      </c>
      <c r="T27" t="s">
        <v>29</v>
      </c>
      <c r="U27">
        <v>3.79723121711418</v>
      </c>
      <c r="V27" t="s">
        <v>30</v>
      </c>
      <c r="W27" t="s">
        <v>31</v>
      </c>
      <c r="X27">
        <v>458.53594573920901</v>
      </c>
      <c r="Z27" s="3">
        <f>SupplyData[[#This Row],[Revenue generated]]/SupplyData[[#This Row],[Number of products sold]]</f>
        <v>15.315331368666548</v>
      </c>
      <c r="AA27" s="3">
        <f>SupplyData[[#This Row],[Manufacturing costs]]/SupplyData[[#This Row],[Production volumes]]</f>
        <v>8.3811973360187683E-2</v>
      </c>
      <c r="AB27" s="2">
        <f>SupplyData[[#This Row],[Costs]]/SupplyData[[#This Row],[Revenue generated]]</f>
        <v>0.21084273664829509</v>
      </c>
      <c r="AC27" t="str">
        <f t="shared" si="0"/>
        <v>Low</v>
      </c>
      <c r="AD27" s="3">
        <f t="shared" si="1"/>
        <v>1637.9607254930258</v>
      </c>
      <c r="AE27" s="2">
        <f t="shared" si="2"/>
        <v>0.7531625930190311</v>
      </c>
    </row>
    <row r="28" spans="1:31" x14ac:dyDescent="0.25">
      <c r="A28" t="s">
        <v>24</v>
      </c>
      <c r="B28" t="s">
        <v>79</v>
      </c>
      <c r="C28">
        <v>97.446946617892806</v>
      </c>
      <c r="D28">
        <v>9</v>
      </c>
      <c r="E28">
        <v>353</v>
      </c>
      <c r="F28">
        <v>3716.49332589403</v>
      </c>
      <c r="G28" t="s">
        <v>54</v>
      </c>
      <c r="H28">
        <v>59</v>
      </c>
      <c r="I28">
        <v>16</v>
      </c>
      <c r="J28">
        <v>48</v>
      </c>
      <c r="K28">
        <v>4</v>
      </c>
      <c r="L28" t="s">
        <v>26</v>
      </c>
      <c r="M28">
        <v>6.5075486210785503</v>
      </c>
      <c r="N28" t="s">
        <v>60</v>
      </c>
      <c r="O28" t="s">
        <v>52</v>
      </c>
      <c r="P28">
        <v>26</v>
      </c>
      <c r="Q28">
        <v>171</v>
      </c>
      <c r="R28">
        <v>4</v>
      </c>
      <c r="S28">
        <v>15.972229757181699</v>
      </c>
      <c r="T28" t="s">
        <v>63</v>
      </c>
      <c r="U28">
        <v>2.1193197367249201</v>
      </c>
      <c r="V28" t="s">
        <v>46</v>
      </c>
      <c r="W28" t="s">
        <v>47</v>
      </c>
      <c r="X28">
        <v>617.86691645837698</v>
      </c>
      <c r="Z28" s="3">
        <f>SupplyData[[#This Row],[Revenue generated]]/SupplyData[[#This Row],[Number of products sold]]</f>
        <v>10.528309705082238</v>
      </c>
      <c r="AA28" s="3">
        <f>SupplyData[[#This Row],[Manufacturing costs]]/SupplyData[[#This Row],[Production volumes]]</f>
        <v>9.3404852381179529E-2</v>
      </c>
      <c r="AB28" s="2">
        <f>SupplyData[[#This Row],[Costs]]/SupplyData[[#This Row],[Revenue generated]]</f>
        <v>0.16624997336965336</v>
      </c>
      <c r="AC28" t="str">
        <f t="shared" si="0"/>
        <v>Medium</v>
      </c>
      <c r="AD28" s="3">
        <f t="shared" si="1"/>
        <v>3082.6541796784713</v>
      </c>
      <c r="AE28" s="2">
        <f t="shared" si="2"/>
        <v>0.8294523652714797</v>
      </c>
    </row>
    <row r="29" spans="1:31" x14ac:dyDescent="0.25">
      <c r="A29" t="s">
        <v>56</v>
      </c>
      <c r="B29" t="s">
        <v>80</v>
      </c>
      <c r="C29">
        <v>92.557360812401996</v>
      </c>
      <c r="D29">
        <v>42</v>
      </c>
      <c r="E29">
        <v>352</v>
      </c>
      <c r="F29">
        <v>2686.4572235759802</v>
      </c>
      <c r="G29" t="s">
        <v>37</v>
      </c>
      <c r="H29">
        <v>47</v>
      </c>
      <c r="I29">
        <v>9</v>
      </c>
      <c r="J29">
        <v>62</v>
      </c>
      <c r="K29">
        <v>8</v>
      </c>
      <c r="L29" t="s">
        <v>42</v>
      </c>
      <c r="M29">
        <v>7.4067509529980704</v>
      </c>
      <c r="N29" t="s">
        <v>43</v>
      </c>
      <c r="O29" t="s">
        <v>28</v>
      </c>
      <c r="P29">
        <v>25</v>
      </c>
      <c r="Q29">
        <v>291</v>
      </c>
      <c r="R29">
        <v>4</v>
      </c>
      <c r="S29">
        <v>10.5282450700421</v>
      </c>
      <c r="T29" t="s">
        <v>45</v>
      </c>
      <c r="U29">
        <v>2.8646678378833701</v>
      </c>
      <c r="V29" t="s">
        <v>55</v>
      </c>
      <c r="W29" t="s">
        <v>31</v>
      </c>
      <c r="X29">
        <v>762.45918215568304</v>
      </c>
      <c r="Z29" s="3">
        <f>SupplyData[[#This Row],[Revenue generated]]/SupplyData[[#This Row],[Number of products sold]]</f>
        <v>7.6319807487953986</v>
      </c>
      <c r="AA29" s="3">
        <f>SupplyData[[#This Row],[Manufacturing costs]]/SupplyData[[#This Row],[Production volumes]]</f>
        <v>3.6179536323168726E-2</v>
      </c>
      <c r="AB29" s="2">
        <f>SupplyData[[#This Row],[Costs]]/SupplyData[[#This Row],[Revenue generated]]</f>
        <v>0.28381586554382693</v>
      </c>
      <c r="AC29" t="str">
        <f t="shared" si="0"/>
        <v>Medium</v>
      </c>
      <c r="AD29" s="3">
        <f t="shared" si="1"/>
        <v>1913.4697963502551</v>
      </c>
      <c r="AE29" s="2">
        <f t="shared" si="2"/>
        <v>0.71226512730517599</v>
      </c>
    </row>
    <row r="30" spans="1:31" x14ac:dyDescent="0.25">
      <c r="A30" t="s">
        <v>56</v>
      </c>
      <c r="B30" t="s">
        <v>81</v>
      </c>
      <c r="C30">
        <v>2.3972747055971402</v>
      </c>
      <c r="D30">
        <v>12</v>
      </c>
      <c r="E30">
        <v>394</v>
      </c>
      <c r="F30">
        <v>6117.3246150839896</v>
      </c>
      <c r="G30" t="s">
        <v>34</v>
      </c>
      <c r="H30">
        <v>48</v>
      </c>
      <c r="I30">
        <v>15</v>
      </c>
      <c r="J30">
        <v>24</v>
      </c>
      <c r="K30">
        <v>4</v>
      </c>
      <c r="L30" t="s">
        <v>26</v>
      </c>
      <c r="M30">
        <v>9.8981405080692202</v>
      </c>
      <c r="N30" t="s">
        <v>38</v>
      </c>
      <c r="O30" t="s">
        <v>28</v>
      </c>
      <c r="P30">
        <v>13</v>
      </c>
      <c r="Q30">
        <v>171</v>
      </c>
      <c r="R30">
        <v>7</v>
      </c>
      <c r="S30">
        <v>59.429381810691503</v>
      </c>
      <c r="T30" t="s">
        <v>45</v>
      </c>
      <c r="U30">
        <v>0.81575707929567198</v>
      </c>
      <c r="V30" t="s">
        <v>39</v>
      </c>
      <c r="W30" t="s">
        <v>47</v>
      </c>
      <c r="X30">
        <v>123.437027511827</v>
      </c>
      <c r="Z30" s="3">
        <f>SupplyData[[#This Row],[Revenue generated]]/SupplyData[[#This Row],[Number of products sold]]</f>
        <v>15.526204606812156</v>
      </c>
      <c r="AA30" s="3">
        <f>SupplyData[[#This Row],[Manufacturing costs]]/SupplyData[[#This Row],[Production volumes]]</f>
        <v>0.34754024450696785</v>
      </c>
      <c r="AB30" s="2">
        <f>SupplyData[[#This Row],[Costs]]/SupplyData[[#This Row],[Revenue generated]]</f>
        <v>2.0178269959298577E-2</v>
      </c>
      <c r="AC30" t="str">
        <f t="shared" si="0"/>
        <v>Medium</v>
      </c>
      <c r="AD30" s="3">
        <f t="shared" si="1"/>
        <v>5934.4582057614707</v>
      </c>
      <c r="AE30" s="2">
        <f t="shared" si="2"/>
        <v>0.97010679981382542</v>
      </c>
    </row>
    <row r="31" spans="1:31" x14ac:dyDescent="0.25">
      <c r="A31" t="s">
        <v>56</v>
      </c>
      <c r="B31" t="s">
        <v>82</v>
      </c>
      <c r="C31">
        <v>63.447559185207297</v>
      </c>
      <c r="D31">
        <v>3</v>
      </c>
      <c r="E31">
        <v>253</v>
      </c>
      <c r="F31">
        <v>8318.9031946171708</v>
      </c>
      <c r="G31" t="s">
        <v>34</v>
      </c>
      <c r="H31">
        <v>45</v>
      </c>
      <c r="I31">
        <v>5</v>
      </c>
      <c r="J31">
        <v>67</v>
      </c>
      <c r="K31">
        <v>7</v>
      </c>
      <c r="L31" t="s">
        <v>26</v>
      </c>
      <c r="M31">
        <v>8.1009731453970293</v>
      </c>
      <c r="N31" t="s">
        <v>38</v>
      </c>
      <c r="O31" t="s">
        <v>44</v>
      </c>
      <c r="P31">
        <v>16</v>
      </c>
      <c r="Q31">
        <v>329</v>
      </c>
      <c r="R31">
        <v>7</v>
      </c>
      <c r="S31">
        <v>39.292875586065698</v>
      </c>
      <c r="T31" t="s">
        <v>63</v>
      </c>
      <c r="U31">
        <v>3.8780989365884802</v>
      </c>
      <c r="V31" t="s">
        <v>30</v>
      </c>
      <c r="W31" t="s">
        <v>31</v>
      </c>
      <c r="X31">
        <v>764.93537594070801</v>
      </c>
      <c r="Z31" s="3">
        <f>SupplyData[[#This Row],[Revenue generated]]/SupplyData[[#This Row],[Number of products sold]]</f>
        <v>32.881040294929527</v>
      </c>
      <c r="AA31" s="3">
        <f>SupplyData[[#This Row],[Manufacturing costs]]/SupplyData[[#This Row],[Production volumes]]</f>
        <v>0.11943123278439421</v>
      </c>
      <c r="AB31" s="2">
        <f>SupplyData[[#This Row],[Costs]]/SupplyData[[#This Row],[Revenue generated]]</f>
        <v>9.1951469808624176E-2</v>
      </c>
      <c r="AC31" t="str">
        <f t="shared" si="0"/>
        <v>Medium</v>
      </c>
      <c r="AD31" s="3">
        <f t="shared" si="1"/>
        <v>7514.6749430903983</v>
      </c>
      <c r="AE31" s="2">
        <f t="shared" si="2"/>
        <v>0.90332520613448697</v>
      </c>
    </row>
    <row r="32" spans="1:31" x14ac:dyDescent="0.25">
      <c r="A32" t="s">
        <v>24</v>
      </c>
      <c r="B32" t="s">
        <v>83</v>
      </c>
      <c r="C32">
        <v>8.0228592105263896</v>
      </c>
      <c r="D32">
        <v>10</v>
      </c>
      <c r="E32">
        <v>327</v>
      </c>
      <c r="F32">
        <v>2766.3423668660798</v>
      </c>
      <c r="G32" t="s">
        <v>54</v>
      </c>
      <c r="H32">
        <v>60</v>
      </c>
      <c r="I32">
        <v>26</v>
      </c>
      <c r="J32">
        <v>35</v>
      </c>
      <c r="K32">
        <v>7</v>
      </c>
      <c r="L32" t="s">
        <v>26</v>
      </c>
      <c r="M32">
        <v>8.9545283153180097</v>
      </c>
      <c r="N32" t="s">
        <v>51</v>
      </c>
      <c r="O32" t="s">
        <v>44</v>
      </c>
      <c r="P32">
        <v>27</v>
      </c>
      <c r="Q32">
        <v>806</v>
      </c>
      <c r="R32">
        <v>30</v>
      </c>
      <c r="S32">
        <v>51.634893400109299</v>
      </c>
      <c r="T32" t="s">
        <v>29</v>
      </c>
      <c r="U32">
        <v>0.96539470535239302</v>
      </c>
      <c r="V32" t="s">
        <v>30</v>
      </c>
      <c r="W32" t="s">
        <v>40</v>
      </c>
      <c r="X32">
        <v>880.08098824716103</v>
      </c>
      <c r="Z32" s="3">
        <f>SupplyData[[#This Row],[Revenue generated]]/SupplyData[[#This Row],[Number of products sold]]</f>
        <v>8.4597625898045248</v>
      </c>
      <c r="AA32" s="3">
        <f>SupplyData[[#This Row],[Manufacturing costs]]/SupplyData[[#This Row],[Production volumes]]</f>
        <v>6.4063143176314272E-2</v>
      </c>
      <c r="AB32" s="2">
        <f>SupplyData[[#This Row],[Costs]]/SupplyData[[#This Row],[Revenue generated]]</f>
        <v>0.31813885323391217</v>
      </c>
      <c r="AC32" t="str">
        <f t="shared" si="0"/>
        <v>Low</v>
      </c>
      <c r="AD32" s="3">
        <f t="shared" si="1"/>
        <v>1834.6264852188094</v>
      </c>
      <c r="AE32" s="2">
        <f t="shared" si="2"/>
        <v>0.6631957443854688</v>
      </c>
    </row>
    <row r="33" spans="1:31" x14ac:dyDescent="0.25">
      <c r="A33" t="s">
        <v>32</v>
      </c>
      <c r="B33" t="s">
        <v>84</v>
      </c>
      <c r="C33">
        <v>50.847393051718697</v>
      </c>
      <c r="D33">
        <v>28</v>
      </c>
      <c r="E33">
        <v>168</v>
      </c>
      <c r="F33">
        <v>9655.1351027193905</v>
      </c>
      <c r="G33" t="s">
        <v>54</v>
      </c>
      <c r="H33">
        <v>6</v>
      </c>
      <c r="I33">
        <v>17</v>
      </c>
      <c r="J33">
        <v>44</v>
      </c>
      <c r="K33">
        <v>4</v>
      </c>
      <c r="L33" t="s">
        <v>26</v>
      </c>
      <c r="M33">
        <v>2.6796609649813998</v>
      </c>
      <c r="N33" t="s">
        <v>27</v>
      </c>
      <c r="O33" t="s">
        <v>61</v>
      </c>
      <c r="P33">
        <v>24</v>
      </c>
      <c r="Q33">
        <v>461</v>
      </c>
      <c r="R33">
        <v>8</v>
      </c>
      <c r="S33">
        <v>60.251145661598002</v>
      </c>
      <c r="T33" t="s">
        <v>29</v>
      </c>
      <c r="U33">
        <v>2.9890000066550702</v>
      </c>
      <c r="V33" t="s">
        <v>46</v>
      </c>
      <c r="W33" t="s">
        <v>40</v>
      </c>
      <c r="X33">
        <v>609.379206618426</v>
      </c>
      <c r="Z33" s="3">
        <f>SupplyData[[#This Row],[Revenue generated]]/SupplyData[[#This Row],[Number of products sold]]</f>
        <v>57.471042278091609</v>
      </c>
      <c r="AA33" s="3">
        <f>SupplyData[[#This Row],[Manufacturing costs]]/SupplyData[[#This Row],[Production volumes]]</f>
        <v>0.13069662833318438</v>
      </c>
      <c r="AB33" s="2">
        <f>SupplyData[[#This Row],[Costs]]/SupplyData[[#This Row],[Revenue generated]]</f>
        <v>6.311451886849237E-2</v>
      </c>
      <c r="AC33" t="str">
        <f t="shared" si="0"/>
        <v>High</v>
      </c>
      <c r="AD33" s="3">
        <f t="shared" si="1"/>
        <v>8985.504750439366</v>
      </c>
      <c r="AE33" s="2">
        <f t="shared" si="2"/>
        <v>0.93064515978741491</v>
      </c>
    </row>
    <row r="34" spans="1:31" x14ac:dyDescent="0.25">
      <c r="A34" t="s">
        <v>32</v>
      </c>
      <c r="B34" t="s">
        <v>85</v>
      </c>
      <c r="C34">
        <v>79.209936015656695</v>
      </c>
      <c r="D34">
        <v>43</v>
      </c>
      <c r="E34">
        <v>781</v>
      </c>
      <c r="F34">
        <v>9571.5504873278096</v>
      </c>
      <c r="G34" t="s">
        <v>37</v>
      </c>
      <c r="H34">
        <v>89</v>
      </c>
      <c r="I34">
        <v>13</v>
      </c>
      <c r="J34">
        <v>64</v>
      </c>
      <c r="K34">
        <v>4</v>
      </c>
      <c r="L34" t="s">
        <v>42</v>
      </c>
      <c r="M34">
        <v>6.5991049012385803</v>
      </c>
      <c r="N34" t="s">
        <v>27</v>
      </c>
      <c r="O34" t="s">
        <v>44</v>
      </c>
      <c r="P34">
        <v>30</v>
      </c>
      <c r="Q34">
        <v>737</v>
      </c>
      <c r="R34">
        <v>7</v>
      </c>
      <c r="S34">
        <v>29.6924671537497</v>
      </c>
      <c r="T34" t="s">
        <v>63</v>
      </c>
      <c r="U34">
        <v>1.94603611938611</v>
      </c>
      <c r="V34" t="s">
        <v>30</v>
      </c>
      <c r="W34" t="s">
        <v>47</v>
      </c>
      <c r="X34">
        <v>761.17390951487698</v>
      </c>
      <c r="Z34" s="3">
        <f>SupplyData[[#This Row],[Revenue generated]]/SupplyData[[#This Row],[Number of products sold]]</f>
        <v>12.255506385823059</v>
      </c>
      <c r="AA34" s="3">
        <f>SupplyData[[#This Row],[Manufacturing costs]]/SupplyData[[#This Row],[Production volumes]]</f>
        <v>4.0288286504409361E-2</v>
      </c>
      <c r="AB34" s="2">
        <f>SupplyData[[#This Row],[Costs]]/SupplyData[[#This Row],[Revenue generated]]</f>
        <v>7.9524619393966323E-2</v>
      </c>
      <c r="AC34" t="str">
        <f t="shared" si="0"/>
        <v>Low</v>
      </c>
      <c r="AD34" s="3">
        <f t="shared" si="1"/>
        <v>8780.6841106591837</v>
      </c>
      <c r="AE34" s="2">
        <f t="shared" si="2"/>
        <v>0.91737322205888294</v>
      </c>
    </row>
    <row r="35" spans="1:31" x14ac:dyDescent="0.25">
      <c r="A35" t="s">
        <v>56</v>
      </c>
      <c r="B35" t="s">
        <v>86</v>
      </c>
      <c r="C35">
        <v>64.795435000155607</v>
      </c>
      <c r="D35">
        <v>63</v>
      </c>
      <c r="E35">
        <v>616</v>
      </c>
      <c r="F35">
        <v>5149.9983504080301</v>
      </c>
      <c r="G35" t="s">
        <v>34</v>
      </c>
      <c r="H35">
        <v>4</v>
      </c>
      <c r="I35">
        <v>17</v>
      </c>
      <c r="J35">
        <v>95</v>
      </c>
      <c r="K35">
        <v>9</v>
      </c>
      <c r="L35" t="s">
        <v>42</v>
      </c>
      <c r="M35">
        <v>4.85827050343664</v>
      </c>
      <c r="N35" t="s">
        <v>43</v>
      </c>
      <c r="O35" t="s">
        <v>61</v>
      </c>
      <c r="P35">
        <v>1</v>
      </c>
      <c r="Q35">
        <v>251</v>
      </c>
      <c r="R35">
        <v>23</v>
      </c>
      <c r="S35">
        <v>23.853427512896101</v>
      </c>
      <c r="T35" t="s">
        <v>45</v>
      </c>
      <c r="U35">
        <v>3.54104601225092</v>
      </c>
      <c r="V35" t="s">
        <v>55</v>
      </c>
      <c r="W35" t="s">
        <v>47</v>
      </c>
      <c r="X35">
        <v>371.25529551987103</v>
      </c>
      <c r="Z35" s="3">
        <f>SupplyData[[#This Row],[Revenue generated]]/SupplyData[[#This Row],[Number of products sold]]</f>
        <v>8.3603869324805675</v>
      </c>
      <c r="AA35" s="3">
        <f>SupplyData[[#This Row],[Manufacturing costs]]/SupplyData[[#This Row],[Production volumes]]</f>
        <v>9.5033575748590046E-2</v>
      </c>
      <c r="AB35" s="2">
        <f>SupplyData[[#This Row],[Costs]]/SupplyData[[#This Row],[Revenue generated]]</f>
        <v>7.2088429987643934E-2</v>
      </c>
      <c r="AC35" t="str">
        <f t="shared" si="0"/>
        <v>High</v>
      </c>
      <c r="AD35" s="3">
        <f t="shared" si="1"/>
        <v>4754.8896273752634</v>
      </c>
      <c r="AE35" s="2">
        <f t="shared" si="2"/>
        <v>0.92327983503111943</v>
      </c>
    </row>
    <row r="36" spans="1:31" x14ac:dyDescent="0.25">
      <c r="A36" t="s">
        <v>32</v>
      </c>
      <c r="B36" t="s">
        <v>87</v>
      </c>
      <c r="C36">
        <v>37.467592329842397</v>
      </c>
      <c r="D36">
        <v>96</v>
      </c>
      <c r="E36">
        <v>602</v>
      </c>
      <c r="F36">
        <v>9061.7108955077201</v>
      </c>
      <c r="G36" t="s">
        <v>37</v>
      </c>
      <c r="H36">
        <v>1</v>
      </c>
      <c r="I36">
        <v>26</v>
      </c>
      <c r="J36">
        <v>21</v>
      </c>
      <c r="K36">
        <v>7</v>
      </c>
      <c r="L36" t="s">
        <v>35</v>
      </c>
      <c r="M36">
        <v>1.0194875708221101</v>
      </c>
      <c r="N36" t="s">
        <v>38</v>
      </c>
      <c r="O36" t="s">
        <v>61</v>
      </c>
      <c r="P36">
        <v>4</v>
      </c>
      <c r="Q36">
        <v>452</v>
      </c>
      <c r="R36">
        <v>10</v>
      </c>
      <c r="S36">
        <v>10.754272815029299</v>
      </c>
      <c r="T36" t="s">
        <v>63</v>
      </c>
      <c r="U36">
        <v>0.64660455937205397</v>
      </c>
      <c r="V36" t="s">
        <v>30</v>
      </c>
      <c r="W36" t="s">
        <v>31</v>
      </c>
      <c r="X36">
        <v>510.35800043352299</v>
      </c>
      <c r="Z36" s="3">
        <f>SupplyData[[#This Row],[Revenue generated]]/SupplyData[[#This Row],[Number of products sold]]</f>
        <v>15.052675906159003</v>
      </c>
      <c r="AA36" s="3">
        <f>SupplyData[[#This Row],[Manufacturing costs]]/SupplyData[[#This Row],[Production volumes]]</f>
        <v>2.3792638971303761E-2</v>
      </c>
      <c r="AB36" s="2">
        <f>SupplyData[[#This Row],[Costs]]/SupplyData[[#This Row],[Revenue generated]]</f>
        <v>5.6320269573655171E-2</v>
      </c>
      <c r="AC36" t="str">
        <f t="shared" si="0"/>
        <v>High</v>
      </c>
      <c r="AD36" s="3">
        <f t="shared" si="1"/>
        <v>8540.5986222591673</v>
      </c>
      <c r="AE36" s="2">
        <f t="shared" si="2"/>
        <v>0.94249294870939981</v>
      </c>
    </row>
    <row r="37" spans="1:31" x14ac:dyDescent="0.25">
      <c r="A37" t="s">
        <v>56</v>
      </c>
      <c r="B37" t="s">
        <v>88</v>
      </c>
      <c r="C37">
        <v>84.957786816350406</v>
      </c>
      <c r="D37">
        <v>11</v>
      </c>
      <c r="E37">
        <v>449</v>
      </c>
      <c r="F37">
        <v>6541.3293448024597</v>
      </c>
      <c r="G37" t="s">
        <v>34</v>
      </c>
      <c r="H37">
        <v>42</v>
      </c>
      <c r="I37">
        <v>27</v>
      </c>
      <c r="J37">
        <v>85</v>
      </c>
      <c r="K37">
        <v>8</v>
      </c>
      <c r="L37" t="s">
        <v>42</v>
      </c>
      <c r="M37">
        <v>5.2881899903273997</v>
      </c>
      <c r="N37" t="s">
        <v>38</v>
      </c>
      <c r="O37" t="s">
        <v>49</v>
      </c>
      <c r="P37">
        <v>3</v>
      </c>
      <c r="Q37">
        <v>367</v>
      </c>
      <c r="R37">
        <v>2</v>
      </c>
      <c r="S37">
        <v>58.004787044743701</v>
      </c>
      <c r="T37" t="s">
        <v>63</v>
      </c>
      <c r="U37">
        <v>0.54115409806058101</v>
      </c>
      <c r="V37" t="s">
        <v>55</v>
      </c>
      <c r="W37" t="s">
        <v>40</v>
      </c>
      <c r="X37">
        <v>553.42047123035502</v>
      </c>
      <c r="Z37" s="3">
        <f>SupplyData[[#This Row],[Revenue generated]]/SupplyData[[#This Row],[Number of products sold]]</f>
        <v>14.568662237867393</v>
      </c>
      <c r="AA37" s="3">
        <f>SupplyData[[#This Row],[Manufacturing costs]]/SupplyData[[#This Row],[Production volumes]]</f>
        <v>0.15805119085761227</v>
      </c>
      <c r="AB37" s="2">
        <f>SupplyData[[#This Row],[Costs]]/SupplyData[[#This Row],[Revenue generated]]</f>
        <v>8.4603670302900433E-2</v>
      </c>
      <c r="AC37" t="str">
        <f t="shared" si="0"/>
        <v>Medium</v>
      </c>
      <c r="AD37" s="3">
        <f t="shared" si="1"/>
        <v>5929.904086527361</v>
      </c>
      <c r="AE37" s="2">
        <f t="shared" si="2"/>
        <v>0.90652889863114472</v>
      </c>
    </row>
    <row r="38" spans="1:31" x14ac:dyDescent="0.25">
      <c r="A38" t="s">
        <v>32</v>
      </c>
      <c r="B38" t="s">
        <v>89</v>
      </c>
      <c r="C38">
        <v>9.81300257875405</v>
      </c>
      <c r="D38">
        <v>34</v>
      </c>
      <c r="E38">
        <v>963</v>
      </c>
      <c r="F38">
        <v>7573.4024578487297</v>
      </c>
      <c r="G38" t="s">
        <v>34</v>
      </c>
      <c r="H38">
        <v>18</v>
      </c>
      <c r="I38">
        <v>23</v>
      </c>
      <c r="J38">
        <v>28</v>
      </c>
      <c r="K38">
        <v>3</v>
      </c>
      <c r="L38" t="s">
        <v>26</v>
      </c>
      <c r="M38">
        <v>2.1079512671590801</v>
      </c>
      <c r="N38" t="s">
        <v>60</v>
      </c>
      <c r="O38" t="s">
        <v>49</v>
      </c>
      <c r="P38">
        <v>26</v>
      </c>
      <c r="Q38">
        <v>671</v>
      </c>
      <c r="R38">
        <v>19</v>
      </c>
      <c r="S38">
        <v>45.531364237162101</v>
      </c>
      <c r="T38" t="s">
        <v>45</v>
      </c>
      <c r="U38">
        <v>3.8055333792433501</v>
      </c>
      <c r="V38" t="s">
        <v>39</v>
      </c>
      <c r="W38" t="s">
        <v>40</v>
      </c>
      <c r="X38">
        <v>403.80897424817999</v>
      </c>
      <c r="Z38" s="3">
        <f>SupplyData[[#This Row],[Revenue generated]]/SupplyData[[#This Row],[Number of products sold]]</f>
        <v>7.8643846914317024</v>
      </c>
      <c r="AA38" s="3">
        <f>SupplyData[[#This Row],[Manufacturing costs]]/SupplyData[[#This Row],[Production volumes]]</f>
        <v>6.7855982469690171E-2</v>
      </c>
      <c r="AB38" s="2">
        <f>SupplyData[[#This Row],[Costs]]/SupplyData[[#This Row],[Revenue generated]]</f>
        <v>5.3319360286959362E-2</v>
      </c>
      <c r="AC38" t="str">
        <f t="shared" si="0"/>
        <v>High</v>
      </c>
      <c r="AD38" s="3">
        <f t="shared" si="1"/>
        <v>7124.0621193633879</v>
      </c>
      <c r="AE38" s="2">
        <f t="shared" si="2"/>
        <v>0.94066863064702633</v>
      </c>
    </row>
    <row r="39" spans="1:31" x14ac:dyDescent="0.25">
      <c r="A39" t="s">
        <v>32</v>
      </c>
      <c r="B39" t="s">
        <v>90</v>
      </c>
      <c r="C39">
        <v>23.3998447526143</v>
      </c>
      <c r="D39">
        <v>5</v>
      </c>
      <c r="E39">
        <v>963</v>
      </c>
      <c r="F39">
        <v>2438.3399304700201</v>
      </c>
      <c r="G39" t="s">
        <v>34</v>
      </c>
      <c r="H39">
        <v>25</v>
      </c>
      <c r="I39">
        <v>8</v>
      </c>
      <c r="J39">
        <v>21</v>
      </c>
      <c r="K39">
        <v>9</v>
      </c>
      <c r="L39" t="s">
        <v>35</v>
      </c>
      <c r="M39">
        <v>1.53265527359043</v>
      </c>
      <c r="N39" t="s">
        <v>27</v>
      </c>
      <c r="O39" t="s">
        <v>44</v>
      </c>
      <c r="P39">
        <v>24</v>
      </c>
      <c r="Q39">
        <v>867</v>
      </c>
      <c r="R39">
        <v>15</v>
      </c>
      <c r="S39">
        <v>34.343277465075303</v>
      </c>
      <c r="T39" t="s">
        <v>29</v>
      </c>
      <c r="U39">
        <v>2.61028808484811</v>
      </c>
      <c r="V39" t="s">
        <v>55</v>
      </c>
      <c r="W39" t="s">
        <v>47</v>
      </c>
      <c r="X39">
        <v>183.932968043594</v>
      </c>
      <c r="Z39" s="3">
        <f>SupplyData[[#This Row],[Revenue generated]]/SupplyData[[#This Row],[Number of products sold]]</f>
        <v>2.5320248499169473</v>
      </c>
      <c r="AA39" s="3">
        <f>SupplyData[[#This Row],[Manufacturing costs]]/SupplyData[[#This Row],[Production volumes]]</f>
        <v>3.9611623373789276E-2</v>
      </c>
      <c r="AB39" s="2">
        <f>SupplyData[[#This Row],[Costs]]/SupplyData[[#This Row],[Revenue generated]]</f>
        <v>7.543368574050241E-2</v>
      </c>
      <c r="AC39" t="str">
        <f t="shared" si="0"/>
        <v>Medium</v>
      </c>
      <c r="AD39" s="3">
        <f t="shared" si="1"/>
        <v>2220.0636849613506</v>
      </c>
      <c r="AE39" s="2">
        <f t="shared" si="2"/>
        <v>0.9104816179315105</v>
      </c>
    </row>
    <row r="40" spans="1:31" x14ac:dyDescent="0.25">
      <c r="A40" t="s">
        <v>56</v>
      </c>
      <c r="B40" t="s">
        <v>91</v>
      </c>
      <c r="C40">
        <v>52.075930682707799</v>
      </c>
      <c r="D40">
        <v>75</v>
      </c>
      <c r="E40">
        <v>705</v>
      </c>
      <c r="F40">
        <v>9692.3180402184298</v>
      </c>
      <c r="G40" t="s">
        <v>54</v>
      </c>
      <c r="H40">
        <v>69</v>
      </c>
      <c r="I40">
        <v>1</v>
      </c>
      <c r="J40">
        <v>88</v>
      </c>
      <c r="K40">
        <v>5</v>
      </c>
      <c r="L40" t="s">
        <v>26</v>
      </c>
      <c r="M40">
        <v>9.2359314372492207</v>
      </c>
      <c r="N40" t="s">
        <v>43</v>
      </c>
      <c r="O40" t="s">
        <v>28</v>
      </c>
      <c r="P40">
        <v>10</v>
      </c>
      <c r="Q40">
        <v>841</v>
      </c>
      <c r="R40">
        <v>12</v>
      </c>
      <c r="S40">
        <v>5.9306936455283097</v>
      </c>
      <c r="T40" t="s">
        <v>29</v>
      </c>
      <c r="U40">
        <v>0.613326899164507</v>
      </c>
      <c r="V40" t="s">
        <v>39</v>
      </c>
      <c r="W40" t="s">
        <v>31</v>
      </c>
      <c r="X40">
        <v>339.67286994860598</v>
      </c>
      <c r="Z40" s="3">
        <f>SupplyData[[#This Row],[Revenue generated]]/SupplyData[[#This Row],[Number of products sold]]</f>
        <v>13.74796885137366</v>
      </c>
      <c r="AA40" s="3">
        <f>SupplyData[[#This Row],[Manufacturing costs]]/SupplyData[[#This Row],[Production volumes]]</f>
        <v>7.051954394207265E-3</v>
      </c>
      <c r="AB40" s="2">
        <f>SupplyData[[#This Row],[Costs]]/SupplyData[[#This Row],[Revenue generated]]</f>
        <v>3.5045576150011581E-2</v>
      </c>
      <c r="AC40" t="str">
        <f t="shared" si="0"/>
        <v>Low</v>
      </c>
      <c r="AD40" s="3">
        <f t="shared" si="1"/>
        <v>9346.7144766242945</v>
      </c>
      <c r="AE40" s="2">
        <f t="shared" si="2"/>
        <v>0.96434252753984673</v>
      </c>
    </row>
    <row r="41" spans="1:31" x14ac:dyDescent="0.25">
      <c r="A41" t="s">
        <v>32</v>
      </c>
      <c r="B41" t="s">
        <v>92</v>
      </c>
      <c r="C41">
        <v>19.127477265823199</v>
      </c>
      <c r="D41">
        <v>26</v>
      </c>
      <c r="E41">
        <v>176</v>
      </c>
      <c r="F41">
        <v>1912.4656631007599</v>
      </c>
      <c r="G41" t="s">
        <v>34</v>
      </c>
      <c r="H41">
        <v>78</v>
      </c>
      <c r="I41">
        <v>29</v>
      </c>
      <c r="J41">
        <v>34</v>
      </c>
      <c r="K41">
        <v>3</v>
      </c>
      <c r="L41" t="s">
        <v>35</v>
      </c>
      <c r="M41">
        <v>5.5625037788303802</v>
      </c>
      <c r="N41" t="s">
        <v>60</v>
      </c>
      <c r="O41" t="s">
        <v>44</v>
      </c>
      <c r="P41">
        <v>30</v>
      </c>
      <c r="Q41">
        <v>791</v>
      </c>
      <c r="R41">
        <v>6</v>
      </c>
      <c r="S41">
        <v>9.0058074287816403</v>
      </c>
      <c r="T41" t="s">
        <v>45</v>
      </c>
      <c r="U41">
        <v>1.4519722039968099</v>
      </c>
      <c r="V41" t="s">
        <v>39</v>
      </c>
      <c r="W41" t="s">
        <v>31</v>
      </c>
      <c r="X41">
        <v>653.67299455203295</v>
      </c>
      <c r="Z41" s="3">
        <f>SupplyData[[#This Row],[Revenue generated]]/SupplyData[[#This Row],[Number of products sold]]</f>
        <v>10.866282176708863</v>
      </c>
      <c r="AA41" s="3">
        <f>SupplyData[[#This Row],[Manufacturing costs]]/SupplyData[[#This Row],[Production volumes]]</f>
        <v>1.1385344410596259E-2</v>
      </c>
      <c r="AB41" s="2">
        <f>SupplyData[[#This Row],[Costs]]/SupplyData[[#This Row],[Revenue generated]]</f>
        <v>0.34179593765474764</v>
      </c>
      <c r="AC41" t="str">
        <f t="shared" si="0"/>
        <v>Low</v>
      </c>
      <c r="AD41" s="3">
        <f t="shared" si="1"/>
        <v>1249.7868611199451</v>
      </c>
      <c r="AE41" s="2">
        <f t="shared" si="2"/>
        <v>0.65349505888310377</v>
      </c>
    </row>
    <row r="42" spans="1:31" x14ac:dyDescent="0.25">
      <c r="A42" t="s">
        <v>32</v>
      </c>
      <c r="B42" t="s">
        <v>93</v>
      </c>
      <c r="C42">
        <v>80.541424170940303</v>
      </c>
      <c r="D42">
        <v>97</v>
      </c>
      <c r="E42">
        <v>933</v>
      </c>
      <c r="F42">
        <v>5724.9593504562599</v>
      </c>
      <c r="G42" t="s">
        <v>34</v>
      </c>
      <c r="H42">
        <v>90</v>
      </c>
      <c r="I42">
        <v>20</v>
      </c>
      <c r="J42">
        <v>39</v>
      </c>
      <c r="K42">
        <v>8</v>
      </c>
      <c r="L42" t="s">
        <v>42</v>
      </c>
      <c r="M42">
        <v>7.2295951397364702</v>
      </c>
      <c r="N42" t="s">
        <v>38</v>
      </c>
      <c r="O42" t="s">
        <v>44</v>
      </c>
      <c r="P42">
        <v>18</v>
      </c>
      <c r="Q42">
        <v>793</v>
      </c>
      <c r="R42">
        <v>1</v>
      </c>
      <c r="S42">
        <v>88.179407104217404</v>
      </c>
      <c r="T42" t="s">
        <v>29</v>
      </c>
      <c r="U42">
        <v>4.2132694305865597</v>
      </c>
      <c r="V42" t="s">
        <v>30</v>
      </c>
      <c r="W42" t="s">
        <v>47</v>
      </c>
      <c r="X42">
        <v>529.80872398069096</v>
      </c>
      <c r="Z42" s="3">
        <f>SupplyData[[#This Row],[Revenue generated]]/SupplyData[[#This Row],[Number of products sold]]</f>
        <v>6.1360764742296459</v>
      </c>
      <c r="AA42" s="3">
        <f>SupplyData[[#This Row],[Manufacturing costs]]/SupplyData[[#This Row],[Production volumes]]</f>
        <v>0.11119723468375461</v>
      </c>
      <c r="AB42" s="2">
        <f>SupplyData[[#This Row],[Costs]]/SupplyData[[#This Row],[Revenue generated]]</f>
        <v>9.2543665648642026E-2</v>
      </c>
      <c r="AC42" t="str">
        <f t="shared" si="0"/>
        <v>Low</v>
      </c>
      <c r="AD42" s="3">
        <f t="shared" si="1"/>
        <v>5106.9712193713513</v>
      </c>
      <c r="AE42" s="2">
        <f t="shared" si="2"/>
        <v>0.89205370846246146</v>
      </c>
    </row>
    <row r="43" spans="1:31" x14ac:dyDescent="0.25">
      <c r="A43" t="s">
        <v>32</v>
      </c>
      <c r="B43" t="s">
        <v>94</v>
      </c>
      <c r="C43">
        <v>99.113291615317095</v>
      </c>
      <c r="D43">
        <v>35</v>
      </c>
      <c r="E43">
        <v>556</v>
      </c>
      <c r="F43">
        <v>5521.2052590109697</v>
      </c>
      <c r="G43" t="s">
        <v>34</v>
      </c>
      <c r="H43">
        <v>64</v>
      </c>
      <c r="I43">
        <v>19</v>
      </c>
      <c r="J43">
        <v>38</v>
      </c>
      <c r="K43">
        <v>8</v>
      </c>
      <c r="L43" t="s">
        <v>26</v>
      </c>
      <c r="M43">
        <v>5.7732637437666501</v>
      </c>
      <c r="N43" t="s">
        <v>51</v>
      </c>
      <c r="O43" t="s">
        <v>61</v>
      </c>
      <c r="P43">
        <v>18</v>
      </c>
      <c r="Q43">
        <v>892</v>
      </c>
      <c r="R43">
        <v>7</v>
      </c>
      <c r="S43">
        <v>95.332064548772493</v>
      </c>
      <c r="T43" t="s">
        <v>45</v>
      </c>
      <c r="U43">
        <v>4.5302262398259602E-2</v>
      </c>
      <c r="V43" t="s">
        <v>55</v>
      </c>
      <c r="W43" t="s">
        <v>47</v>
      </c>
      <c r="X43">
        <v>275.52437113130901</v>
      </c>
      <c r="Z43" s="3">
        <f>SupplyData[[#This Row],[Revenue generated]]/SupplyData[[#This Row],[Number of products sold]]</f>
        <v>9.9302252859909519</v>
      </c>
      <c r="AA43" s="3">
        <f>SupplyData[[#This Row],[Manufacturing costs]]/SupplyData[[#This Row],[Production volumes]]</f>
        <v>0.10687451182597812</v>
      </c>
      <c r="AB43" s="2">
        <f>SupplyData[[#This Row],[Costs]]/SupplyData[[#This Row],[Revenue generated]]</f>
        <v>4.9902939341303264E-2</v>
      </c>
      <c r="AC43" t="str">
        <f t="shared" si="0"/>
        <v>Low</v>
      </c>
      <c r="AD43" s="3">
        <f t="shared" si="1"/>
        <v>5150.3488233308881</v>
      </c>
      <c r="AE43" s="2">
        <f t="shared" si="2"/>
        <v>0.93283052915397058</v>
      </c>
    </row>
    <row r="44" spans="1:31" x14ac:dyDescent="0.25">
      <c r="A44" t="s">
        <v>32</v>
      </c>
      <c r="B44" t="s">
        <v>95</v>
      </c>
      <c r="C44">
        <v>46.529167614516702</v>
      </c>
      <c r="D44">
        <v>98</v>
      </c>
      <c r="E44">
        <v>155</v>
      </c>
      <c r="F44">
        <v>1839.60942585676</v>
      </c>
      <c r="G44" t="s">
        <v>34</v>
      </c>
      <c r="H44">
        <v>22</v>
      </c>
      <c r="I44">
        <v>27</v>
      </c>
      <c r="J44">
        <v>57</v>
      </c>
      <c r="K44">
        <v>4</v>
      </c>
      <c r="L44" t="s">
        <v>42</v>
      </c>
      <c r="M44">
        <v>7.5262483268515004</v>
      </c>
      <c r="N44" t="s">
        <v>43</v>
      </c>
      <c r="O44" t="s">
        <v>52</v>
      </c>
      <c r="P44">
        <v>26</v>
      </c>
      <c r="Q44">
        <v>179</v>
      </c>
      <c r="R44">
        <v>7</v>
      </c>
      <c r="S44">
        <v>96.422820639571796</v>
      </c>
      <c r="T44" t="s">
        <v>45</v>
      </c>
      <c r="U44">
        <v>4.9392552886209398</v>
      </c>
      <c r="V44" t="s">
        <v>30</v>
      </c>
      <c r="W44" t="s">
        <v>47</v>
      </c>
      <c r="X44">
        <v>635.65712050199102</v>
      </c>
      <c r="Z44" s="3">
        <f>SupplyData[[#This Row],[Revenue generated]]/SupplyData[[#This Row],[Number of products sold]]</f>
        <v>11.868447908753291</v>
      </c>
      <c r="AA44" s="3">
        <f>SupplyData[[#This Row],[Manufacturing costs]]/SupplyData[[#This Row],[Production volumes]]</f>
        <v>0.53867497564006595</v>
      </c>
      <c r="AB44" s="2">
        <f>SupplyData[[#This Row],[Costs]]/SupplyData[[#This Row],[Revenue generated]]</f>
        <v>0.34553917346120733</v>
      </c>
      <c r="AC44" t="str">
        <f t="shared" si="0"/>
        <v>High</v>
      </c>
      <c r="AD44" s="3">
        <f t="shared" si="1"/>
        <v>1107.5294847151972</v>
      </c>
      <c r="AE44" s="2">
        <f t="shared" si="2"/>
        <v>0.60204599364856393</v>
      </c>
    </row>
    <row r="45" spans="1:31" x14ac:dyDescent="0.25">
      <c r="A45" t="s">
        <v>24</v>
      </c>
      <c r="B45" t="s">
        <v>96</v>
      </c>
      <c r="C45">
        <v>11.7432717763092</v>
      </c>
      <c r="D45">
        <v>6</v>
      </c>
      <c r="E45">
        <v>598</v>
      </c>
      <c r="F45">
        <v>5737.4255991190203</v>
      </c>
      <c r="G45" t="s">
        <v>37</v>
      </c>
      <c r="H45">
        <v>36</v>
      </c>
      <c r="I45">
        <v>29</v>
      </c>
      <c r="J45">
        <v>85</v>
      </c>
      <c r="K45">
        <v>9</v>
      </c>
      <c r="L45" t="s">
        <v>26</v>
      </c>
      <c r="M45">
        <v>3.6940212683884499</v>
      </c>
      <c r="N45" t="s">
        <v>43</v>
      </c>
      <c r="O45" t="s">
        <v>28</v>
      </c>
      <c r="P45">
        <v>1</v>
      </c>
      <c r="Q45">
        <v>206</v>
      </c>
      <c r="R45">
        <v>23</v>
      </c>
      <c r="S45">
        <v>26.2773659573324</v>
      </c>
      <c r="T45" t="s">
        <v>29</v>
      </c>
      <c r="U45">
        <v>0.37230476798509698</v>
      </c>
      <c r="V45" t="s">
        <v>39</v>
      </c>
      <c r="W45" t="s">
        <v>47</v>
      </c>
      <c r="X45">
        <v>716.04411975933999</v>
      </c>
      <c r="Z45" s="3">
        <f>SupplyData[[#This Row],[Revenue generated]]/SupplyData[[#This Row],[Number of products sold]]</f>
        <v>9.5943571891622419</v>
      </c>
      <c r="AA45" s="3">
        <f>SupplyData[[#This Row],[Manufacturing costs]]/SupplyData[[#This Row],[Production volumes]]</f>
        <v>0.12756002891908932</v>
      </c>
      <c r="AB45" s="2">
        <f>SupplyData[[#This Row],[Costs]]/SupplyData[[#This Row],[Revenue generated]]</f>
        <v>0.12480233641187231</v>
      </c>
      <c r="AC45" t="str">
        <f t="shared" si="0"/>
        <v>Medium</v>
      </c>
      <c r="AD45" s="3">
        <f t="shared" si="1"/>
        <v>4995.104113402348</v>
      </c>
      <c r="AE45" s="2">
        <f t="shared" si="2"/>
        <v>0.87061767113273669</v>
      </c>
    </row>
    <row r="46" spans="1:31" x14ac:dyDescent="0.25">
      <c r="A46" t="s">
        <v>56</v>
      </c>
      <c r="B46" t="s">
        <v>97</v>
      </c>
      <c r="C46">
        <v>51.355790913110297</v>
      </c>
      <c r="D46">
        <v>34</v>
      </c>
      <c r="E46">
        <v>919</v>
      </c>
      <c r="F46">
        <v>7152.28604943551</v>
      </c>
      <c r="G46" t="s">
        <v>34</v>
      </c>
      <c r="H46">
        <v>13</v>
      </c>
      <c r="I46">
        <v>19</v>
      </c>
      <c r="J46">
        <v>72</v>
      </c>
      <c r="K46">
        <v>6</v>
      </c>
      <c r="L46" t="s">
        <v>42</v>
      </c>
      <c r="M46">
        <v>7.5774496573766896</v>
      </c>
      <c r="N46" t="s">
        <v>60</v>
      </c>
      <c r="O46" t="s">
        <v>49</v>
      </c>
      <c r="P46">
        <v>7</v>
      </c>
      <c r="Q46">
        <v>834</v>
      </c>
      <c r="R46">
        <v>18</v>
      </c>
      <c r="S46">
        <v>22.554106620887701</v>
      </c>
      <c r="T46" t="s">
        <v>45</v>
      </c>
      <c r="U46">
        <v>2.9626263204548802</v>
      </c>
      <c r="V46" t="s">
        <v>46</v>
      </c>
      <c r="W46" t="s">
        <v>47</v>
      </c>
      <c r="X46">
        <v>610.45326961922694</v>
      </c>
      <c r="Z46" s="3">
        <f>SupplyData[[#This Row],[Revenue generated]]/SupplyData[[#This Row],[Number of products sold]]</f>
        <v>7.7826834052617082</v>
      </c>
      <c r="AA46" s="3">
        <f>SupplyData[[#This Row],[Manufacturing costs]]/SupplyData[[#This Row],[Production volumes]]</f>
        <v>2.7043293310416907E-2</v>
      </c>
      <c r="AB46" s="2">
        <f>SupplyData[[#This Row],[Costs]]/SupplyData[[#This Row],[Revenue generated]]</f>
        <v>8.5350790698228096E-2</v>
      </c>
      <c r="AC46" t="str">
        <f t="shared" si="0"/>
        <v>High</v>
      </c>
      <c r="AD46" s="3">
        <f t="shared" si="1"/>
        <v>6519.2786731953947</v>
      </c>
      <c r="AE46" s="2">
        <f t="shared" si="2"/>
        <v>0.91149579702701133</v>
      </c>
    </row>
    <row r="47" spans="1:31" x14ac:dyDescent="0.25">
      <c r="A47" t="s">
        <v>24</v>
      </c>
      <c r="B47" t="s">
        <v>98</v>
      </c>
      <c r="C47">
        <v>33.784138033065503</v>
      </c>
      <c r="D47">
        <v>1</v>
      </c>
      <c r="E47">
        <v>24</v>
      </c>
      <c r="F47">
        <v>5267.9568075105199</v>
      </c>
      <c r="G47" t="s">
        <v>54</v>
      </c>
      <c r="H47">
        <v>93</v>
      </c>
      <c r="I47">
        <v>7</v>
      </c>
      <c r="J47">
        <v>52</v>
      </c>
      <c r="K47">
        <v>6</v>
      </c>
      <c r="L47" t="s">
        <v>26</v>
      </c>
      <c r="M47">
        <v>5.2151550087119096</v>
      </c>
      <c r="N47" t="s">
        <v>60</v>
      </c>
      <c r="O47" t="s">
        <v>61</v>
      </c>
      <c r="P47">
        <v>25</v>
      </c>
      <c r="Q47">
        <v>794</v>
      </c>
      <c r="R47">
        <v>25</v>
      </c>
      <c r="S47">
        <v>66.312544439991598</v>
      </c>
      <c r="T47" t="s">
        <v>63</v>
      </c>
      <c r="U47">
        <v>3.2196046120841002</v>
      </c>
      <c r="V47" t="s">
        <v>46</v>
      </c>
      <c r="W47" t="s">
        <v>47</v>
      </c>
      <c r="X47">
        <v>495.30569702847299</v>
      </c>
      <c r="Z47" s="3">
        <f>SupplyData[[#This Row],[Revenue generated]]/SupplyData[[#This Row],[Number of products sold]]</f>
        <v>219.49820031293834</v>
      </c>
      <c r="AA47" s="3">
        <f>SupplyData[[#This Row],[Manufacturing costs]]/SupplyData[[#This Row],[Production volumes]]</f>
        <v>8.35170584886544E-2</v>
      </c>
      <c r="AB47" s="2">
        <f>SupplyData[[#This Row],[Costs]]/SupplyData[[#This Row],[Revenue generated]]</f>
        <v>9.4022353471523573E-2</v>
      </c>
      <c r="AC47" t="str">
        <f t="shared" si="0"/>
        <v>Low</v>
      </c>
      <c r="AD47" s="3">
        <f t="shared" si="1"/>
        <v>4706.3385660420545</v>
      </c>
      <c r="AE47" s="2">
        <f t="shared" si="2"/>
        <v>0.89338974065471322</v>
      </c>
    </row>
    <row r="48" spans="1:31" x14ac:dyDescent="0.25">
      <c r="A48" t="s">
        <v>24</v>
      </c>
      <c r="B48" t="s">
        <v>99</v>
      </c>
      <c r="C48">
        <v>27.082207199888899</v>
      </c>
      <c r="D48">
        <v>75</v>
      </c>
      <c r="E48">
        <v>859</v>
      </c>
      <c r="F48">
        <v>2556.7673606335902</v>
      </c>
      <c r="G48" t="s">
        <v>34</v>
      </c>
      <c r="H48">
        <v>92</v>
      </c>
      <c r="I48">
        <v>29</v>
      </c>
      <c r="J48">
        <v>6</v>
      </c>
      <c r="K48">
        <v>8</v>
      </c>
      <c r="L48" t="s">
        <v>26</v>
      </c>
      <c r="M48">
        <v>4.0709558370840799</v>
      </c>
      <c r="N48" t="s">
        <v>27</v>
      </c>
      <c r="O48" t="s">
        <v>61</v>
      </c>
      <c r="P48">
        <v>18</v>
      </c>
      <c r="Q48">
        <v>870</v>
      </c>
      <c r="R48">
        <v>23</v>
      </c>
      <c r="S48">
        <v>77.322353211051606</v>
      </c>
      <c r="T48" t="s">
        <v>29</v>
      </c>
      <c r="U48">
        <v>3.6486105925361998</v>
      </c>
      <c r="V48" t="s">
        <v>30</v>
      </c>
      <c r="W48" t="s">
        <v>31</v>
      </c>
      <c r="X48">
        <v>380.43593711196399</v>
      </c>
      <c r="Z48" s="3">
        <f>SupplyData[[#This Row],[Revenue generated]]/SupplyData[[#This Row],[Number of products sold]]</f>
        <v>2.9764462871171014</v>
      </c>
      <c r="AA48" s="3">
        <f>SupplyData[[#This Row],[Manufacturing costs]]/SupplyData[[#This Row],[Production volumes]]</f>
        <v>8.8876268058680014E-2</v>
      </c>
      <c r="AB48" s="2">
        <f>SupplyData[[#This Row],[Costs]]/SupplyData[[#This Row],[Revenue generated]]</f>
        <v>0.14879567964200252</v>
      </c>
      <c r="AC48" t="str">
        <f t="shared" si="0"/>
        <v>Low</v>
      </c>
      <c r="AD48" s="3">
        <f t="shared" si="1"/>
        <v>2099.0090703105748</v>
      </c>
      <c r="AE48" s="2">
        <f t="shared" si="2"/>
        <v>0.82096208776320623</v>
      </c>
    </row>
    <row r="49" spans="1:31" x14ac:dyDescent="0.25">
      <c r="A49" t="s">
        <v>32</v>
      </c>
      <c r="B49" t="s">
        <v>100</v>
      </c>
      <c r="C49">
        <v>95.712135880936003</v>
      </c>
      <c r="D49">
        <v>93</v>
      </c>
      <c r="E49">
        <v>910</v>
      </c>
      <c r="F49">
        <v>7089.4742499341801</v>
      </c>
      <c r="G49" t="s">
        <v>54</v>
      </c>
      <c r="H49">
        <v>4</v>
      </c>
      <c r="I49">
        <v>15</v>
      </c>
      <c r="J49">
        <v>51</v>
      </c>
      <c r="K49">
        <v>9</v>
      </c>
      <c r="L49" t="s">
        <v>26</v>
      </c>
      <c r="M49">
        <v>8.9787507559499709</v>
      </c>
      <c r="N49" t="s">
        <v>38</v>
      </c>
      <c r="O49" t="s">
        <v>44</v>
      </c>
      <c r="P49">
        <v>10</v>
      </c>
      <c r="Q49">
        <v>964</v>
      </c>
      <c r="R49">
        <v>20</v>
      </c>
      <c r="S49">
        <v>19.7129929112936</v>
      </c>
      <c r="T49" t="s">
        <v>29</v>
      </c>
      <c r="U49">
        <v>0.38057358671321301</v>
      </c>
      <c r="V49" t="s">
        <v>46</v>
      </c>
      <c r="W49" t="s">
        <v>47</v>
      </c>
      <c r="X49">
        <v>581.60235505058597</v>
      </c>
      <c r="Z49" s="3">
        <f>SupplyData[[#This Row],[Revenue generated]]/SupplyData[[#This Row],[Number of products sold]]</f>
        <v>7.7906310438837147</v>
      </c>
      <c r="AA49" s="3">
        <f>SupplyData[[#This Row],[Manufacturing costs]]/SupplyData[[#This Row],[Production volumes]]</f>
        <v>2.0449162771051452E-2</v>
      </c>
      <c r="AB49" s="2">
        <f>SupplyData[[#This Row],[Costs]]/SupplyData[[#This Row],[Revenue generated]]</f>
        <v>8.2037445168234538E-2</v>
      </c>
      <c r="AC49" t="str">
        <f t="shared" si="0"/>
        <v>Medium</v>
      </c>
      <c r="AD49" s="3">
        <f t="shared" si="1"/>
        <v>6488.1589019723006</v>
      </c>
      <c r="AE49" s="2">
        <f t="shared" si="2"/>
        <v>0.91518195471723984</v>
      </c>
    </row>
    <row r="50" spans="1:31" x14ac:dyDescent="0.25">
      <c r="A50" t="s">
        <v>24</v>
      </c>
      <c r="B50" t="s">
        <v>101</v>
      </c>
      <c r="C50">
        <v>76.035544426891704</v>
      </c>
      <c r="D50">
        <v>28</v>
      </c>
      <c r="E50">
        <v>29</v>
      </c>
      <c r="F50">
        <v>7397.0710045871801</v>
      </c>
      <c r="G50" t="s">
        <v>54</v>
      </c>
      <c r="H50">
        <v>30</v>
      </c>
      <c r="I50">
        <v>16</v>
      </c>
      <c r="J50">
        <v>9</v>
      </c>
      <c r="K50">
        <v>3</v>
      </c>
      <c r="L50" t="s">
        <v>42</v>
      </c>
      <c r="M50">
        <v>7.0958331565551296</v>
      </c>
      <c r="N50" t="s">
        <v>60</v>
      </c>
      <c r="O50" t="s">
        <v>28</v>
      </c>
      <c r="P50">
        <v>9</v>
      </c>
      <c r="Q50">
        <v>109</v>
      </c>
      <c r="R50">
        <v>18</v>
      </c>
      <c r="S50">
        <v>23.126363582464698</v>
      </c>
      <c r="T50" t="s">
        <v>45</v>
      </c>
      <c r="U50">
        <v>1.6981125407144</v>
      </c>
      <c r="V50" t="s">
        <v>46</v>
      </c>
      <c r="W50" t="s">
        <v>31</v>
      </c>
      <c r="X50">
        <v>768.65191395437</v>
      </c>
      <c r="Z50" s="3">
        <f>SupplyData[[#This Row],[Revenue generated]]/SupplyData[[#This Row],[Number of products sold]]</f>
        <v>255.07141395128207</v>
      </c>
      <c r="AA50" s="3">
        <f>SupplyData[[#This Row],[Manufacturing costs]]/SupplyData[[#This Row],[Production volumes]]</f>
        <v>0.21216847323362109</v>
      </c>
      <c r="AB50" s="2">
        <f>SupplyData[[#This Row],[Costs]]/SupplyData[[#This Row],[Revenue generated]]</f>
        <v>0.10391301009246799</v>
      </c>
      <c r="AC50" t="str">
        <f t="shared" si="0"/>
        <v>Medium</v>
      </c>
      <c r="AD50" s="3">
        <f t="shared" si="1"/>
        <v>6605.292727050346</v>
      </c>
      <c r="AE50" s="2">
        <f t="shared" si="2"/>
        <v>0.89296056817004665</v>
      </c>
    </row>
    <row r="51" spans="1:31" x14ac:dyDescent="0.25">
      <c r="A51" t="s">
        <v>56</v>
      </c>
      <c r="B51" t="s">
        <v>102</v>
      </c>
      <c r="C51">
        <v>78.897913205639995</v>
      </c>
      <c r="D51">
        <v>19</v>
      </c>
      <c r="E51">
        <v>99</v>
      </c>
      <c r="F51">
        <v>8001.6132065190004</v>
      </c>
      <c r="G51" t="s">
        <v>37</v>
      </c>
      <c r="H51">
        <v>97</v>
      </c>
      <c r="I51">
        <v>24</v>
      </c>
      <c r="J51">
        <v>9</v>
      </c>
      <c r="K51">
        <v>6</v>
      </c>
      <c r="L51" t="s">
        <v>42</v>
      </c>
      <c r="M51">
        <v>2.5056210329009101</v>
      </c>
      <c r="N51" t="s">
        <v>43</v>
      </c>
      <c r="O51" t="s">
        <v>49</v>
      </c>
      <c r="P51">
        <v>28</v>
      </c>
      <c r="Q51">
        <v>177</v>
      </c>
      <c r="R51">
        <v>28</v>
      </c>
      <c r="S51">
        <v>14.1478154439792</v>
      </c>
      <c r="T51" t="s">
        <v>63</v>
      </c>
      <c r="U51">
        <v>2.8258139854001301</v>
      </c>
      <c r="V51" t="s">
        <v>46</v>
      </c>
      <c r="W51" t="s">
        <v>47</v>
      </c>
      <c r="X51">
        <v>336.89016851997701</v>
      </c>
      <c r="Z51" s="3">
        <f>SupplyData[[#This Row],[Revenue generated]]/SupplyData[[#This Row],[Number of products sold]]</f>
        <v>80.824375823424248</v>
      </c>
      <c r="AA51" s="3">
        <f>SupplyData[[#This Row],[Manufacturing costs]]/SupplyData[[#This Row],[Production volumes]]</f>
        <v>7.9931160700447451E-2</v>
      </c>
      <c r="AB51" s="2">
        <f>SupplyData[[#This Row],[Costs]]/SupplyData[[#This Row],[Revenue generated]]</f>
        <v>4.2102781004898983E-2</v>
      </c>
      <c r="AC51" t="str">
        <f t="shared" si="0"/>
        <v>Low</v>
      </c>
      <c r="AD51" s="3">
        <f t="shared" si="1"/>
        <v>7650.5752225550441</v>
      </c>
      <c r="AE51" s="2">
        <f t="shared" si="2"/>
        <v>0.9561290986075206</v>
      </c>
    </row>
    <row r="52" spans="1:31" x14ac:dyDescent="0.25">
      <c r="A52" t="s">
        <v>56</v>
      </c>
      <c r="B52" t="s">
        <v>103</v>
      </c>
      <c r="C52">
        <v>14.203484264803</v>
      </c>
      <c r="D52">
        <v>91</v>
      </c>
      <c r="E52">
        <v>633</v>
      </c>
      <c r="F52">
        <v>5910.8853896688897</v>
      </c>
      <c r="G52" t="s">
        <v>34</v>
      </c>
      <c r="H52">
        <v>31</v>
      </c>
      <c r="I52">
        <v>23</v>
      </c>
      <c r="J52">
        <v>82</v>
      </c>
      <c r="K52">
        <v>10</v>
      </c>
      <c r="L52" t="s">
        <v>35</v>
      </c>
      <c r="M52">
        <v>6.2478609149759903</v>
      </c>
      <c r="N52" t="s">
        <v>60</v>
      </c>
      <c r="O52" t="s">
        <v>49</v>
      </c>
      <c r="P52">
        <v>20</v>
      </c>
      <c r="Q52">
        <v>306</v>
      </c>
      <c r="R52">
        <v>21</v>
      </c>
      <c r="S52">
        <v>45.178757924634503</v>
      </c>
      <c r="T52" t="s">
        <v>45</v>
      </c>
      <c r="U52">
        <v>4.7548008046711798</v>
      </c>
      <c r="V52" t="s">
        <v>46</v>
      </c>
      <c r="W52" t="s">
        <v>31</v>
      </c>
      <c r="X52">
        <v>496.24865029194001</v>
      </c>
      <c r="Z52" s="3">
        <f>SupplyData[[#This Row],[Revenue generated]]/SupplyData[[#This Row],[Number of products sold]]</f>
        <v>9.3378916108513259</v>
      </c>
      <c r="AA52" s="3">
        <f>SupplyData[[#This Row],[Manufacturing costs]]/SupplyData[[#This Row],[Production volumes]]</f>
        <v>0.14764299975370754</v>
      </c>
      <c r="AB52" s="2">
        <f>SupplyData[[#This Row],[Costs]]/SupplyData[[#This Row],[Revenue generated]]</f>
        <v>8.3955045238956735E-2</v>
      </c>
      <c r="AC52" t="str">
        <f t="shared" si="0"/>
        <v>Medium</v>
      </c>
      <c r="AD52" s="3">
        <f t="shared" si="1"/>
        <v>5369.4579814523149</v>
      </c>
      <c r="AE52" s="2">
        <f t="shared" si="2"/>
        <v>0.90840163993656731</v>
      </c>
    </row>
    <row r="53" spans="1:31" x14ac:dyDescent="0.25">
      <c r="A53" t="s">
        <v>24</v>
      </c>
      <c r="B53" t="s">
        <v>104</v>
      </c>
      <c r="C53">
        <v>26.700760972461701</v>
      </c>
      <c r="D53">
        <v>61</v>
      </c>
      <c r="E53">
        <v>154</v>
      </c>
      <c r="F53">
        <v>9866.4654579796897</v>
      </c>
      <c r="G53" t="s">
        <v>54</v>
      </c>
      <c r="H53">
        <v>100</v>
      </c>
      <c r="I53">
        <v>4</v>
      </c>
      <c r="J53">
        <v>52</v>
      </c>
      <c r="K53">
        <v>1</v>
      </c>
      <c r="L53" t="s">
        <v>35</v>
      </c>
      <c r="M53">
        <v>4.78300055794766</v>
      </c>
      <c r="N53" t="s">
        <v>43</v>
      </c>
      <c r="O53" t="s">
        <v>52</v>
      </c>
      <c r="P53">
        <v>18</v>
      </c>
      <c r="Q53">
        <v>673</v>
      </c>
      <c r="R53">
        <v>28</v>
      </c>
      <c r="S53">
        <v>14.190328344569901</v>
      </c>
      <c r="T53" t="s">
        <v>29</v>
      </c>
      <c r="U53">
        <v>1.77295117208355</v>
      </c>
      <c r="V53" t="s">
        <v>30</v>
      </c>
      <c r="W53" t="s">
        <v>47</v>
      </c>
      <c r="X53">
        <v>694.98231757944495</v>
      </c>
      <c r="Z53" s="3">
        <f>SupplyData[[#This Row],[Revenue generated]]/SupplyData[[#This Row],[Number of products sold]]</f>
        <v>64.067957519348639</v>
      </c>
      <c r="AA53" s="3">
        <f>SupplyData[[#This Row],[Manufacturing costs]]/SupplyData[[#This Row],[Production volumes]]</f>
        <v>2.1085183275735365E-2</v>
      </c>
      <c r="AB53" s="2">
        <f>SupplyData[[#This Row],[Costs]]/SupplyData[[#This Row],[Revenue generated]]</f>
        <v>7.0438833495065342E-2</v>
      </c>
      <c r="AC53" t="str">
        <f t="shared" si="0"/>
        <v>Low</v>
      </c>
      <c r="AD53" s="3">
        <f t="shared" si="1"/>
        <v>9157.2928120556753</v>
      </c>
      <c r="AE53" s="2">
        <f t="shared" si="2"/>
        <v>0.92812292822142728</v>
      </c>
    </row>
    <row r="54" spans="1:31" x14ac:dyDescent="0.25">
      <c r="A54" t="s">
        <v>32</v>
      </c>
      <c r="B54" t="s">
        <v>105</v>
      </c>
      <c r="C54">
        <v>98.031829656465007</v>
      </c>
      <c r="D54">
        <v>1</v>
      </c>
      <c r="E54">
        <v>820</v>
      </c>
      <c r="F54">
        <v>9435.7626089121295</v>
      </c>
      <c r="G54" t="s">
        <v>54</v>
      </c>
      <c r="H54">
        <v>64</v>
      </c>
      <c r="I54">
        <v>11</v>
      </c>
      <c r="J54">
        <v>11</v>
      </c>
      <c r="K54">
        <v>1</v>
      </c>
      <c r="L54" t="s">
        <v>26</v>
      </c>
      <c r="M54">
        <v>8.6310521797689397</v>
      </c>
      <c r="N54" t="s">
        <v>38</v>
      </c>
      <c r="O54" t="s">
        <v>28</v>
      </c>
      <c r="P54">
        <v>10</v>
      </c>
      <c r="Q54">
        <v>727</v>
      </c>
      <c r="R54">
        <v>27</v>
      </c>
      <c r="S54">
        <v>9.1668491485971497</v>
      </c>
      <c r="T54" t="s">
        <v>29</v>
      </c>
      <c r="U54">
        <v>2.1224716191438202</v>
      </c>
      <c r="V54" t="s">
        <v>39</v>
      </c>
      <c r="W54" t="s">
        <v>40</v>
      </c>
      <c r="X54">
        <v>602.89849883838303</v>
      </c>
      <c r="Z54" s="3">
        <f>SupplyData[[#This Row],[Revenue generated]]/SupplyData[[#This Row],[Number of products sold]]</f>
        <v>11.507027571844061</v>
      </c>
      <c r="AA54" s="3">
        <f>SupplyData[[#This Row],[Manufacturing costs]]/SupplyData[[#This Row],[Production volumes]]</f>
        <v>1.2609146009074484E-2</v>
      </c>
      <c r="AB54" s="2">
        <f>SupplyData[[#This Row],[Costs]]/SupplyData[[#This Row],[Revenue generated]]</f>
        <v>6.3895047366806595E-2</v>
      </c>
      <c r="AC54" t="str">
        <f t="shared" si="0"/>
        <v>Low</v>
      </c>
      <c r="AD54" s="3">
        <f t="shared" si="1"/>
        <v>8823.6972609251479</v>
      </c>
      <c r="AE54" s="2">
        <f t="shared" si="2"/>
        <v>0.93513345202126186</v>
      </c>
    </row>
    <row r="55" spans="1:31" x14ac:dyDescent="0.25">
      <c r="A55" t="s">
        <v>32</v>
      </c>
      <c r="B55" t="s">
        <v>106</v>
      </c>
      <c r="C55">
        <v>30.3414707112142</v>
      </c>
      <c r="D55">
        <v>93</v>
      </c>
      <c r="E55">
        <v>242</v>
      </c>
      <c r="F55">
        <v>8232.3348294258194</v>
      </c>
      <c r="G55" t="s">
        <v>54</v>
      </c>
      <c r="H55">
        <v>96</v>
      </c>
      <c r="I55">
        <v>25</v>
      </c>
      <c r="J55">
        <v>54</v>
      </c>
      <c r="K55">
        <v>3</v>
      </c>
      <c r="L55" t="s">
        <v>26</v>
      </c>
      <c r="M55">
        <v>1.0134865660958901</v>
      </c>
      <c r="N55" t="s">
        <v>38</v>
      </c>
      <c r="O55" t="s">
        <v>49</v>
      </c>
      <c r="P55">
        <v>1</v>
      </c>
      <c r="Q55">
        <v>631</v>
      </c>
      <c r="R55">
        <v>17</v>
      </c>
      <c r="S55">
        <v>83.344058991677898</v>
      </c>
      <c r="T55" t="s">
        <v>29</v>
      </c>
      <c r="U55">
        <v>1.41034757607602</v>
      </c>
      <c r="V55" t="s">
        <v>39</v>
      </c>
      <c r="W55" t="s">
        <v>31</v>
      </c>
      <c r="X55">
        <v>750.73784066827</v>
      </c>
      <c r="Z55" s="3">
        <f>SupplyData[[#This Row],[Revenue generated]]/SupplyData[[#This Row],[Number of products sold]]</f>
        <v>34.017912518288512</v>
      </c>
      <c r="AA55" s="3">
        <f>SupplyData[[#This Row],[Manufacturing costs]]/SupplyData[[#This Row],[Production volumes]]</f>
        <v>0.13208250236399033</v>
      </c>
      <c r="AB55" s="2">
        <f>SupplyData[[#This Row],[Costs]]/SupplyData[[#This Row],[Revenue generated]]</f>
        <v>9.1193793282656324E-2</v>
      </c>
      <c r="AC55" t="str">
        <f t="shared" si="0"/>
        <v>Low</v>
      </c>
      <c r="AD55" s="3">
        <f t="shared" si="1"/>
        <v>7398.2529297658712</v>
      </c>
      <c r="AE55" s="2">
        <f t="shared" si="2"/>
        <v>0.89868221872140219</v>
      </c>
    </row>
    <row r="56" spans="1:31" x14ac:dyDescent="0.25">
      <c r="A56" t="s">
        <v>24</v>
      </c>
      <c r="B56" t="s">
        <v>107</v>
      </c>
      <c r="C56">
        <v>31.1462431602408</v>
      </c>
      <c r="D56">
        <v>11</v>
      </c>
      <c r="E56">
        <v>622</v>
      </c>
      <c r="F56">
        <v>6088.0214799408504</v>
      </c>
      <c r="G56" t="s">
        <v>34</v>
      </c>
      <c r="H56">
        <v>33</v>
      </c>
      <c r="I56">
        <v>22</v>
      </c>
      <c r="J56">
        <v>61</v>
      </c>
      <c r="K56">
        <v>3</v>
      </c>
      <c r="L56" t="s">
        <v>26</v>
      </c>
      <c r="M56">
        <v>4.3051034712876302</v>
      </c>
      <c r="N56" t="s">
        <v>38</v>
      </c>
      <c r="O56" t="s">
        <v>44</v>
      </c>
      <c r="P56">
        <v>26</v>
      </c>
      <c r="Q56">
        <v>497</v>
      </c>
      <c r="R56">
        <v>29</v>
      </c>
      <c r="S56">
        <v>30.186023375822501</v>
      </c>
      <c r="T56" t="s">
        <v>63</v>
      </c>
      <c r="U56">
        <v>2.4787719755397402</v>
      </c>
      <c r="V56" t="s">
        <v>30</v>
      </c>
      <c r="W56" t="s">
        <v>31</v>
      </c>
      <c r="X56">
        <v>814.06999658218695</v>
      </c>
      <c r="Z56" s="3">
        <f>SupplyData[[#This Row],[Revenue generated]]/SupplyData[[#This Row],[Number of products sold]]</f>
        <v>9.7878158841492766</v>
      </c>
      <c r="AA56" s="3">
        <f>SupplyData[[#This Row],[Manufacturing costs]]/SupplyData[[#This Row],[Production volumes]]</f>
        <v>6.0736465544914485E-2</v>
      </c>
      <c r="AB56" s="2">
        <f>SupplyData[[#This Row],[Costs]]/SupplyData[[#This Row],[Revenue generated]]</f>
        <v>0.13371667614255794</v>
      </c>
      <c r="AC56" t="str">
        <f t="shared" si="0"/>
        <v>Medium</v>
      </c>
      <c r="AD56" s="3">
        <f t="shared" si="1"/>
        <v>5243.7654599828411</v>
      </c>
      <c r="AE56" s="2">
        <f t="shared" si="2"/>
        <v>0.86132505893093336</v>
      </c>
    </row>
    <row r="57" spans="1:31" x14ac:dyDescent="0.25">
      <c r="A57" t="s">
        <v>24</v>
      </c>
      <c r="B57" t="s">
        <v>108</v>
      </c>
      <c r="C57">
        <v>79.855058340789398</v>
      </c>
      <c r="D57">
        <v>16</v>
      </c>
      <c r="E57">
        <v>701</v>
      </c>
      <c r="F57">
        <v>2925.6751703038099</v>
      </c>
      <c r="G57" t="s">
        <v>54</v>
      </c>
      <c r="H57">
        <v>97</v>
      </c>
      <c r="I57">
        <v>11</v>
      </c>
      <c r="J57">
        <v>11</v>
      </c>
      <c r="K57">
        <v>5</v>
      </c>
      <c r="L57" t="s">
        <v>35</v>
      </c>
      <c r="M57">
        <v>5.0143649550309002</v>
      </c>
      <c r="N57" t="s">
        <v>60</v>
      </c>
      <c r="O57" t="s">
        <v>49</v>
      </c>
      <c r="P57">
        <v>27</v>
      </c>
      <c r="Q57">
        <v>918</v>
      </c>
      <c r="R57">
        <v>5</v>
      </c>
      <c r="S57">
        <v>30.323545256616502</v>
      </c>
      <c r="T57" t="s">
        <v>45</v>
      </c>
      <c r="U57">
        <v>4.5489196593963799</v>
      </c>
      <c r="V57" t="s">
        <v>55</v>
      </c>
      <c r="W57" t="s">
        <v>31</v>
      </c>
      <c r="X57">
        <v>323.01292795247798</v>
      </c>
      <c r="Z57" s="3">
        <f>SupplyData[[#This Row],[Revenue generated]]/SupplyData[[#This Row],[Number of products sold]]</f>
        <v>4.1735737094205563</v>
      </c>
      <c r="AA57" s="3">
        <f>SupplyData[[#This Row],[Manufacturing costs]]/SupplyData[[#This Row],[Production volumes]]</f>
        <v>3.3032184375399239E-2</v>
      </c>
      <c r="AB57" s="2">
        <f>SupplyData[[#This Row],[Costs]]/SupplyData[[#This Row],[Revenue generated]]</f>
        <v>0.11040628543835762</v>
      </c>
      <c r="AC57" t="str">
        <f t="shared" si="0"/>
        <v>Low</v>
      </c>
      <c r="AD57" s="3">
        <f t="shared" si="1"/>
        <v>2572.3386970947154</v>
      </c>
      <c r="AE57" s="2">
        <f t="shared" si="2"/>
        <v>0.87922908298380809</v>
      </c>
    </row>
    <row r="58" spans="1:31" x14ac:dyDescent="0.25">
      <c r="A58" t="s">
        <v>32</v>
      </c>
      <c r="B58" t="s">
        <v>109</v>
      </c>
      <c r="C58">
        <v>20.9863860370433</v>
      </c>
      <c r="D58">
        <v>90</v>
      </c>
      <c r="E58">
        <v>93</v>
      </c>
      <c r="F58">
        <v>4767.0204843441297</v>
      </c>
      <c r="G58" t="s">
        <v>54</v>
      </c>
      <c r="H58">
        <v>25</v>
      </c>
      <c r="I58">
        <v>23</v>
      </c>
      <c r="J58">
        <v>83</v>
      </c>
      <c r="K58">
        <v>5</v>
      </c>
      <c r="L58" t="s">
        <v>42</v>
      </c>
      <c r="M58">
        <v>1.77442971407173</v>
      </c>
      <c r="N58" t="s">
        <v>38</v>
      </c>
      <c r="O58" t="s">
        <v>28</v>
      </c>
      <c r="P58">
        <v>24</v>
      </c>
      <c r="Q58">
        <v>826</v>
      </c>
      <c r="R58">
        <v>28</v>
      </c>
      <c r="S58">
        <v>12.8362845728327</v>
      </c>
      <c r="T58" t="s">
        <v>63</v>
      </c>
      <c r="U58">
        <v>1.1737554953874501</v>
      </c>
      <c r="V58" t="s">
        <v>39</v>
      </c>
      <c r="W58" t="s">
        <v>31</v>
      </c>
      <c r="X58">
        <v>832.210808706021</v>
      </c>
      <c r="Z58" s="3">
        <f>SupplyData[[#This Row],[Revenue generated]]/SupplyData[[#This Row],[Number of products sold]]</f>
        <v>51.25828477789387</v>
      </c>
      <c r="AA58" s="3">
        <f>SupplyData[[#This Row],[Manufacturing costs]]/SupplyData[[#This Row],[Production volumes]]</f>
        <v>1.5540296093017795E-2</v>
      </c>
      <c r="AB58" s="2">
        <f>SupplyData[[#This Row],[Costs]]/SupplyData[[#This Row],[Revenue generated]]</f>
        <v>0.17457672175715869</v>
      </c>
      <c r="AC58" t="str">
        <f t="shared" si="0"/>
        <v>High</v>
      </c>
      <c r="AD58" s="3">
        <f t="shared" si="1"/>
        <v>3921.9733910652762</v>
      </c>
      <c r="AE58" s="2">
        <f t="shared" si="2"/>
        <v>0.82273055128372929</v>
      </c>
    </row>
    <row r="59" spans="1:31" x14ac:dyDescent="0.25">
      <c r="A59" t="s">
        <v>24</v>
      </c>
      <c r="B59" t="s">
        <v>110</v>
      </c>
      <c r="C59">
        <v>49.263205350734097</v>
      </c>
      <c r="D59">
        <v>65</v>
      </c>
      <c r="E59">
        <v>227</v>
      </c>
      <c r="F59">
        <v>1605.8669003924001</v>
      </c>
      <c r="G59" t="s">
        <v>37</v>
      </c>
      <c r="H59">
        <v>5</v>
      </c>
      <c r="I59">
        <v>18</v>
      </c>
      <c r="J59">
        <v>51</v>
      </c>
      <c r="K59">
        <v>1</v>
      </c>
      <c r="L59" t="s">
        <v>26</v>
      </c>
      <c r="M59">
        <v>9.1605585353818704</v>
      </c>
      <c r="N59" t="s">
        <v>60</v>
      </c>
      <c r="O59" t="s">
        <v>49</v>
      </c>
      <c r="P59">
        <v>21</v>
      </c>
      <c r="Q59">
        <v>588</v>
      </c>
      <c r="R59">
        <v>25</v>
      </c>
      <c r="S59">
        <v>67.779622987078099</v>
      </c>
      <c r="T59" t="s">
        <v>29</v>
      </c>
      <c r="U59">
        <v>2.5111748302126999</v>
      </c>
      <c r="V59" t="s">
        <v>46</v>
      </c>
      <c r="W59" t="s">
        <v>47</v>
      </c>
      <c r="X59">
        <v>482.19123860252802</v>
      </c>
      <c r="Z59" s="3">
        <f>SupplyData[[#This Row],[Revenue generated]]/SupplyData[[#This Row],[Number of products sold]]</f>
        <v>7.0743035259577098</v>
      </c>
      <c r="AA59" s="3">
        <f>SupplyData[[#This Row],[Manufacturing costs]]/SupplyData[[#This Row],[Production volumes]]</f>
        <v>0.11527146766509881</v>
      </c>
      <c r="AB59" s="2">
        <f>SupplyData[[#This Row],[Costs]]/SupplyData[[#This Row],[Revenue generated]]</f>
        <v>0.30026849577925957</v>
      </c>
      <c r="AC59" t="str">
        <f t="shared" si="0"/>
        <v>High</v>
      </c>
      <c r="AD59" s="3">
        <f t="shared" si="1"/>
        <v>1055.896038802794</v>
      </c>
      <c r="AE59" s="2">
        <f t="shared" si="2"/>
        <v>0.65752400684314594</v>
      </c>
    </row>
    <row r="60" spans="1:31" x14ac:dyDescent="0.25">
      <c r="A60" t="s">
        <v>32</v>
      </c>
      <c r="B60" t="s">
        <v>111</v>
      </c>
      <c r="C60">
        <v>59.841561377289302</v>
      </c>
      <c r="D60">
        <v>81</v>
      </c>
      <c r="E60">
        <v>896</v>
      </c>
      <c r="F60">
        <v>2021.1498103371</v>
      </c>
      <c r="G60" t="s">
        <v>34</v>
      </c>
      <c r="H60">
        <v>10</v>
      </c>
      <c r="I60">
        <v>5</v>
      </c>
      <c r="J60">
        <v>44</v>
      </c>
      <c r="K60">
        <v>7</v>
      </c>
      <c r="L60" t="s">
        <v>35</v>
      </c>
      <c r="M60">
        <v>4.9384385647120901</v>
      </c>
      <c r="N60" t="s">
        <v>27</v>
      </c>
      <c r="O60" t="s">
        <v>49</v>
      </c>
      <c r="P60">
        <v>18</v>
      </c>
      <c r="Q60">
        <v>396</v>
      </c>
      <c r="R60">
        <v>7</v>
      </c>
      <c r="S60">
        <v>65.047415094691402</v>
      </c>
      <c r="T60" t="s">
        <v>45</v>
      </c>
      <c r="U60">
        <v>1.7303747198591899</v>
      </c>
      <c r="V60" t="s">
        <v>30</v>
      </c>
      <c r="W60" t="s">
        <v>31</v>
      </c>
      <c r="X60">
        <v>110.364335231364</v>
      </c>
      <c r="Z60" s="3">
        <f>SupplyData[[#This Row],[Revenue generated]]/SupplyData[[#This Row],[Number of products sold]]</f>
        <v>2.2557475561797991</v>
      </c>
      <c r="AA60" s="3">
        <f>SupplyData[[#This Row],[Manufacturing costs]]/SupplyData[[#This Row],[Production volumes]]</f>
        <v>0.16426114922901869</v>
      </c>
      <c r="AB60" s="2">
        <f>SupplyData[[#This Row],[Costs]]/SupplyData[[#This Row],[Revenue generated]]</f>
        <v>5.4604727797469277E-2</v>
      </c>
      <c r="AC60" t="str">
        <f t="shared" si="0"/>
        <v>Medium</v>
      </c>
      <c r="AD60" s="3">
        <f t="shared" si="1"/>
        <v>1845.7380600110446</v>
      </c>
      <c r="AE60" s="2">
        <f t="shared" si="2"/>
        <v>0.91321190075623382</v>
      </c>
    </row>
    <row r="61" spans="1:31" x14ac:dyDescent="0.25">
      <c r="A61" t="s">
        <v>56</v>
      </c>
      <c r="B61" t="s">
        <v>112</v>
      </c>
      <c r="C61">
        <v>63.828398347710902</v>
      </c>
      <c r="D61">
        <v>30</v>
      </c>
      <c r="E61">
        <v>484</v>
      </c>
      <c r="F61">
        <v>1061.6185230132801</v>
      </c>
      <c r="G61" t="s">
        <v>54</v>
      </c>
      <c r="H61">
        <v>100</v>
      </c>
      <c r="I61">
        <v>16</v>
      </c>
      <c r="J61">
        <v>26</v>
      </c>
      <c r="K61">
        <v>7</v>
      </c>
      <c r="L61" t="s">
        <v>26</v>
      </c>
      <c r="M61">
        <v>7.2937225968677204</v>
      </c>
      <c r="N61" t="s">
        <v>38</v>
      </c>
      <c r="O61" t="s">
        <v>44</v>
      </c>
      <c r="P61">
        <v>11</v>
      </c>
      <c r="Q61">
        <v>176</v>
      </c>
      <c r="R61">
        <v>4</v>
      </c>
      <c r="S61">
        <v>1.90076224351945</v>
      </c>
      <c r="T61" t="s">
        <v>45</v>
      </c>
      <c r="U61">
        <v>0.44719401546382298</v>
      </c>
      <c r="V61" t="s">
        <v>39</v>
      </c>
      <c r="W61" t="s">
        <v>47</v>
      </c>
      <c r="X61">
        <v>312.57427361009297</v>
      </c>
      <c r="Z61" s="3">
        <f>SupplyData[[#This Row],[Revenue generated]]/SupplyData[[#This Row],[Number of products sold]]</f>
        <v>2.1934267004406611</v>
      </c>
      <c r="AA61" s="3">
        <f>SupplyData[[#This Row],[Manufacturing costs]]/SupplyData[[#This Row],[Production volumes]]</f>
        <v>1.079978547454233E-2</v>
      </c>
      <c r="AB61" s="2">
        <f>SupplyData[[#This Row],[Costs]]/SupplyData[[#This Row],[Revenue generated]]</f>
        <v>0.29443181974904453</v>
      </c>
      <c r="AC61" t="str">
        <f t="shared" si="0"/>
        <v>Low</v>
      </c>
      <c r="AD61" s="3">
        <f t="shared" si="1"/>
        <v>747.14348715966764</v>
      </c>
      <c r="AE61" s="2">
        <f t="shared" si="2"/>
        <v>0.70377774215825495</v>
      </c>
    </row>
    <row r="62" spans="1:31" x14ac:dyDescent="0.25">
      <c r="A62" t="s">
        <v>32</v>
      </c>
      <c r="B62" t="s">
        <v>113</v>
      </c>
      <c r="C62">
        <v>17.028027920188698</v>
      </c>
      <c r="D62">
        <v>16</v>
      </c>
      <c r="E62">
        <v>380</v>
      </c>
      <c r="F62">
        <v>8864.0843495864301</v>
      </c>
      <c r="G62" t="s">
        <v>34</v>
      </c>
      <c r="H62">
        <v>41</v>
      </c>
      <c r="I62">
        <v>27</v>
      </c>
      <c r="J62">
        <v>72</v>
      </c>
      <c r="K62">
        <v>8</v>
      </c>
      <c r="L62" t="s">
        <v>42</v>
      </c>
      <c r="M62">
        <v>4.3813681581023101</v>
      </c>
      <c r="N62" t="s">
        <v>51</v>
      </c>
      <c r="O62" t="s">
        <v>28</v>
      </c>
      <c r="P62">
        <v>29</v>
      </c>
      <c r="Q62">
        <v>929</v>
      </c>
      <c r="R62">
        <v>24</v>
      </c>
      <c r="S62">
        <v>87.213057815135599</v>
      </c>
      <c r="T62" t="s">
        <v>45</v>
      </c>
      <c r="U62">
        <v>2.8530906166490499</v>
      </c>
      <c r="V62" t="s">
        <v>46</v>
      </c>
      <c r="W62" t="s">
        <v>47</v>
      </c>
      <c r="X62">
        <v>430.16909697513597</v>
      </c>
      <c r="Z62" s="3">
        <f>SupplyData[[#This Row],[Revenue generated]]/SupplyData[[#This Row],[Number of products sold]]</f>
        <v>23.326537762069552</v>
      </c>
      <c r="AA62" s="3">
        <f>SupplyData[[#This Row],[Manufacturing costs]]/SupplyData[[#This Row],[Production volumes]]</f>
        <v>9.3878426065807971E-2</v>
      </c>
      <c r="AB62" s="2">
        <f>SupplyData[[#This Row],[Costs]]/SupplyData[[#This Row],[Revenue generated]]</f>
        <v>4.8529445344820787E-2</v>
      </c>
      <c r="AC62" t="str">
        <f t="shared" si="0"/>
        <v>Medium</v>
      </c>
      <c r="AD62" s="3">
        <f t="shared" si="1"/>
        <v>8346.7021947961584</v>
      </c>
      <c r="AE62" s="2">
        <f t="shared" si="2"/>
        <v>0.94163163002680461</v>
      </c>
    </row>
    <row r="63" spans="1:31" x14ac:dyDescent="0.25">
      <c r="A63" t="s">
        <v>24</v>
      </c>
      <c r="B63" t="s">
        <v>114</v>
      </c>
      <c r="C63">
        <v>52.028749903294901</v>
      </c>
      <c r="D63">
        <v>23</v>
      </c>
      <c r="E63">
        <v>117</v>
      </c>
      <c r="F63">
        <v>6885.5893508962499</v>
      </c>
      <c r="G63" t="s">
        <v>37</v>
      </c>
      <c r="H63">
        <v>32</v>
      </c>
      <c r="I63">
        <v>23</v>
      </c>
      <c r="J63">
        <v>36</v>
      </c>
      <c r="K63">
        <v>7</v>
      </c>
      <c r="L63" t="s">
        <v>42</v>
      </c>
      <c r="M63">
        <v>9.0303404225219399</v>
      </c>
      <c r="N63" t="s">
        <v>51</v>
      </c>
      <c r="O63" t="s">
        <v>44</v>
      </c>
      <c r="P63">
        <v>14</v>
      </c>
      <c r="Q63">
        <v>480</v>
      </c>
      <c r="R63">
        <v>12</v>
      </c>
      <c r="S63">
        <v>78.702393968878894</v>
      </c>
      <c r="T63" t="s">
        <v>45</v>
      </c>
      <c r="U63">
        <v>4.3674705382050503</v>
      </c>
      <c r="V63" t="s">
        <v>39</v>
      </c>
      <c r="W63" t="s">
        <v>47</v>
      </c>
      <c r="X63">
        <v>164.366528243419</v>
      </c>
      <c r="Z63" s="3">
        <f>SupplyData[[#This Row],[Revenue generated]]/SupplyData[[#This Row],[Number of products sold]]</f>
        <v>58.851191033301284</v>
      </c>
      <c r="AA63" s="3">
        <f>SupplyData[[#This Row],[Manufacturing costs]]/SupplyData[[#This Row],[Production volumes]]</f>
        <v>0.16396332076849771</v>
      </c>
      <c r="AB63" s="2">
        <f>SupplyData[[#This Row],[Costs]]/SupplyData[[#This Row],[Revenue generated]]</f>
        <v>2.3871090747232048E-2</v>
      </c>
      <c r="AC63" t="str">
        <f t="shared" si="0"/>
        <v>Medium</v>
      </c>
      <c r="AD63" s="3">
        <f t="shared" si="1"/>
        <v>6642.5204286839526</v>
      </c>
      <c r="AE63" s="2">
        <f t="shared" si="2"/>
        <v>0.96469889361312855</v>
      </c>
    </row>
    <row r="64" spans="1:31" x14ac:dyDescent="0.25">
      <c r="A64" t="s">
        <v>56</v>
      </c>
      <c r="B64" t="s">
        <v>115</v>
      </c>
      <c r="C64">
        <v>72.796353955587307</v>
      </c>
      <c r="D64">
        <v>89</v>
      </c>
      <c r="E64">
        <v>270</v>
      </c>
      <c r="F64">
        <v>3899.7468337292198</v>
      </c>
      <c r="G64" t="s">
        <v>37</v>
      </c>
      <c r="H64">
        <v>86</v>
      </c>
      <c r="I64">
        <v>2</v>
      </c>
      <c r="J64">
        <v>40</v>
      </c>
      <c r="K64">
        <v>7</v>
      </c>
      <c r="L64" t="s">
        <v>42</v>
      </c>
      <c r="M64">
        <v>7.2917013887767697</v>
      </c>
      <c r="N64" t="s">
        <v>60</v>
      </c>
      <c r="O64" t="s">
        <v>28</v>
      </c>
      <c r="P64">
        <v>13</v>
      </c>
      <c r="Q64">
        <v>751</v>
      </c>
      <c r="R64">
        <v>14</v>
      </c>
      <c r="S64">
        <v>21.048642725168602</v>
      </c>
      <c r="T64" t="s">
        <v>63</v>
      </c>
      <c r="U64">
        <v>1.87400140404437</v>
      </c>
      <c r="V64" t="s">
        <v>55</v>
      </c>
      <c r="W64" t="s">
        <v>40</v>
      </c>
      <c r="X64">
        <v>320.84651575911101</v>
      </c>
      <c r="Z64" s="3">
        <f>SupplyData[[#This Row],[Revenue generated]]/SupplyData[[#This Row],[Number of products sold]]</f>
        <v>14.443506791589703</v>
      </c>
      <c r="AA64" s="3">
        <f>SupplyData[[#This Row],[Manufacturing costs]]/SupplyData[[#This Row],[Production volumes]]</f>
        <v>2.8027486984245807E-2</v>
      </c>
      <c r="AB64" s="2">
        <f>SupplyData[[#This Row],[Costs]]/SupplyData[[#This Row],[Revenue generated]]</f>
        <v>8.2273678122919164E-2</v>
      </c>
      <c r="AC64" t="str">
        <f t="shared" si="0"/>
        <v>Low</v>
      </c>
      <c r="AD64" s="3">
        <f t="shared" si="1"/>
        <v>3557.8516752449405</v>
      </c>
      <c r="AE64" s="2">
        <f t="shared" si="2"/>
        <v>0.91232888362721365</v>
      </c>
    </row>
    <row r="65" spans="1:31" x14ac:dyDescent="0.25">
      <c r="A65" t="s">
        <v>32</v>
      </c>
      <c r="B65" t="s">
        <v>116</v>
      </c>
      <c r="C65">
        <v>13.0173767852878</v>
      </c>
      <c r="D65">
        <v>55</v>
      </c>
      <c r="E65">
        <v>246</v>
      </c>
      <c r="F65">
        <v>4256.9491408502199</v>
      </c>
      <c r="G65" t="s">
        <v>34</v>
      </c>
      <c r="H65">
        <v>54</v>
      </c>
      <c r="I65">
        <v>19</v>
      </c>
      <c r="J65">
        <v>10</v>
      </c>
      <c r="K65">
        <v>4</v>
      </c>
      <c r="L65" t="s">
        <v>35</v>
      </c>
      <c r="M65">
        <v>2.45793352798733</v>
      </c>
      <c r="N65" t="s">
        <v>27</v>
      </c>
      <c r="O65" t="s">
        <v>52</v>
      </c>
      <c r="P65">
        <v>18</v>
      </c>
      <c r="Q65">
        <v>736</v>
      </c>
      <c r="R65">
        <v>10</v>
      </c>
      <c r="S65">
        <v>20.075003975630398</v>
      </c>
      <c r="T65" t="s">
        <v>29</v>
      </c>
      <c r="U65">
        <v>3.6328432903821302</v>
      </c>
      <c r="V65" t="s">
        <v>55</v>
      </c>
      <c r="W65" t="s">
        <v>47</v>
      </c>
      <c r="X65">
        <v>687.28617786641701</v>
      </c>
      <c r="Z65" s="3">
        <f>SupplyData[[#This Row],[Revenue generated]]/SupplyData[[#This Row],[Number of products sold]]</f>
        <v>17.304671304269188</v>
      </c>
      <c r="AA65" s="3">
        <f>SupplyData[[#This Row],[Manufacturing costs]]/SupplyData[[#This Row],[Production volumes]]</f>
        <v>2.727582061906304E-2</v>
      </c>
      <c r="AB65" s="2">
        <f>SupplyData[[#This Row],[Costs]]/SupplyData[[#This Row],[Revenue generated]]</f>
        <v>0.16145040852640974</v>
      </c>
      <c r="AC65" t="str">
        <f t="shared" si="0"/>
        <v>Medium</v>
      </c>
      <c r="AD65" s="3">
        <f t="shared" si="1"/>
        <v>3549.5879590081727</v>
      </c>
      <c r="AE65" s="2">
        <f t="shared" si="2"/>
        <v>0.83383377192503427</v>
      </c>
    </row>
    <row r="66" spans="1:31" x14ac:dyDescent="0.25">
      <c r="A66" t="s">
        <v>32</v>
      </c>
      <c r="B66" t="s">
        <v>117</v>
      </c>
      <c r="C66">
        <v>89.634095608135297</v>
      </c>
      <c r="D66">
        <v>11</v>
      </c>
      <c r="E66">
        <v>134</v>
      </c>
      <c r="F66">
        <v>8458.7308783671706</v>
      </c>
      <c r="G66" t="s">
        <v>34</v>
      </c>
      <c r="H66">
        <v>73</v>
      </c>
      <c r="I66">
        <v>27</v>
      </c>
      <c r="J66">
        <v>75</v>
      </c>
      <c r="K66">
        <v>6</v>
      </c>
      <c r="L66" t="s">
        <v>42</v>
      </c>
      <c r="M66">
        <v>4.5853534681946497</v>
      </c>
      <c r="N66" t="s">
        <v>38</v>
      </c>
      <c r="O66" t="s">
        <v>49</v>
      </c>
      <c r="P66">
        <v>17</v>
      </c>
      <c r="Q66">
        <v>328</v>
      </c>
      <c r="R66">
        <v>6</v>
      </c>
      <c r="S66">
        <v>8.6930424258772803</v>
      </c>
      <c r="T66" t="s">
        <v>45</v>
      </c>
      <c r="U66">
        <v>0.15948631471751401</v>
      </c>
      <c r="V66" t="s">
        <v>39</v>
      </c>
      <c r="W66" t="s">
        <v>40</v>
      </c>
      <c r="X66">
        <v>771.225084681157</v>
      </c>
      <c r="Z66" s="3">
        <f>SupplyData[[#This Row],[Revenue generated]]/SupplyData[[#This Row],[Number of products sold]]</f>
        <v>63.124857301247545</v>
      </c>
      <c r="AA66" s="3">
        <f>SupplyData[[#This Row],[Manufacturing costs]]/SupplyData[[#This Row],[Production volumes]]</f>
        <v>2.6503178127674634E-2</v>
      </c>
      <c r="AB66" s="2">
        <f>SupplyData[[#This Row],[Costs]]/SupplyData[[#This Row],[Revenue generated]]</f>
        <v>9.1175035093447765E-2</v>
      </c>
      <c r="AC66" t="str">
        <f t="shared" si="0"/>
        <v>Low</v>
      </c>
      <c r="AD66" s="3">
        <f t="shared" si="1"/>
        <v>7678.8127512601368</v>
      </c>
      <c r="AE66" s="2">
        <f t="shared" si="2"/>
        <v>0.90779726435065577</v>
      </c>
    </row>
    <row r="67" spans="1:31" x14ac:dyDescent="0.25">
      <c r="A67" t="s">
        <v>32</v>
      </c>
      <c r="B67" t="s">
        <v>118</v>
      </c>
      <c r="C67">
        <v>33.697717206643098</v>
      </c>
      <c r="D67">
        <v>72</v>
      </c>
      <c r="E67">
        <v>457</v>
      </c>
      <c r="F67">
        <v>8354.5796864819895</v>
      </c>
      <c r="G67" t="s">
        <v>54</v>
      </c>
      <c r="H67">
        <v>57</v>
      </c>
      <c r="I67">
        <v>24</v>
      </c>
      <c r="J67">
        <v>54</v>
      </c>
      <c r="K67">
        <v>8</v>
      </c>
      <c r="L67" t="s">
        <v>42</v>
      </c>
      <c r="M67">
        <v>6.5805413478845898</v>
      </c>
      <c r="N67" t="s">
        <v>43</v>
      </c>
      <c r="O67" t="s">
        <v>44</v>
      </c>
      <c r="P67">
        <v>16</v>
      </c>
      <c r="Q67">
        <v>358</v>
      </c>
      <c r="R67">
        <v>21</v>
      </c>
      <c r="S67">
        <v>1.59722274305067</v>
      </c>
      <c r="T67" t="s">
        <v>45</v>
      </c>
      <c r="U67">
        <v>4.9110959548423301</v>
      </c>
      <c r="V67" t="s">
        <v>46</v>
      </c>
      <c r="W67" t="s">
        <v>40</v>
      </c>
      <c r="X67">
        <v>555.85910367174301</v>
      </c>
      <c r="Z67" s="3">
        <f>SupplyData[[#This Row],[Revenue generated]]/SupplyData[[#This Row],[Number of products sold]]</f>
        <v>18.281355987925579</v>
      </c>
      <c r="AA67" s="3">
        <f>SupplyData[[#This Row],[Manufacturing costs]]/SupplyData[[#This Row],[Production volumes]]</f>
        <v>4.4615160420409779E-3</v>
      </c>
      <c r="AB67" s="2">
        <f>SupplyData[[#This Row],[Costs]]/SupplyData[[#This Row],[Revenue generated]]</f>
        <v>6.6533461230987245E-2</v>
      </c>
      <c r="AC67" t="str">
        <f t="shared" ref="AC67:AC101" si="3">IF(AND(H67&lt;30,I67&gt;15),"High",IF(H67&lt;60,"Medium","Low"))</f>
        <v>Medium</v>
      </c>
      <c r="AD67" s="3">
        <f t="shared" ref="AD67:AD101" si="4">F67-S67-X67</f>
        <v>7797.1233600671967</v>
      </c>
      <c r="AE67" s="2">
        <f t="shared" ref="AE67:AE101" si="5">AD67/F67</f>
        <v>0.93327535946341178</v>
      </c>
    </row>
    <row r="68" spans="1:31" x14ac:dyDescent="0.25">
      <c r="A68" t="s">
        <v>32</v>
      </c>
      <c r="B68" t="s">
        <v>119</v>
      </c>
      <c r="C68">
        <v>26.034869773962001</v>
      </c>
      <c r="D68">
        <v>52</v>
      </c>
      <c r="E68">
        <v>704</v>
      </c>
      <c r="F68">
        <v>8367.7216180201503</v>
      </c>
      <c r="G68" t="s">
        <v>34</v>
      </c>
      <c r="H68">
        <v>13</v>
      </c>
      <c r="I68">
        <v>17</v>
      </c>
      <c r="J68">
        <v>19</v>
      </c>
      <c r="K68">
        <v>8</v>
      </c>
      <c r="L68" t="s">
        <v>35</v>
      </c>
      <c r="M68">
        <v>2.2161427287713602</v>
      </c>
      <c r="N68" t="s">
        <v>43</v>
      </c>
      <c r="O68" t="s">
        <v>44</v>
      </c>
      <c r="P68">
        <v>24</v>
      </c>
      <c r="Q68">
        <v>867</v>
      </c>
      <c r="R68">
        <v>28</v>
      </c>
      <c r="S68">
        <v>42.084436738309897</v>
      </c>
      <c r="T68" t="s">
        <v>45</v>
      </c>
      <c r="U68">
        <v>3.44806328834026</v>
      </c>
      <c r="V68" t="s">
        <v>30</v>
      </c>
      <c r="W68" t="s">
        <v>47</v>
      </c>
      <c r="X68">
        <v>393.84334857842703</v>
      </c>
      <c r="Z68" s="3">
        <f>SupplyData[[#This Row],[Revenue generated]]/SupplyData[[#This Row],[Number of products sold]]</f>
        <v>11.885968207414987</v>
      </c>
      <c r="AA68" s="3">
        <f>SupplyData[[#This Row],[Manufacturing costs]]/SupplyData[[#This Row],[Production volumes]]</f>
        <v>4.8540296122618107E-2</v>
      </c>
      <c r="AB68" s="2">
        <f>SupplyData[[#This Row],[Costs]]/SupplyData[[#This Row],[Revenue generated]]</f>
        <v>4.7066975522975459E-2</v>
      </c>
      <c r="AC68" t="str">
        <f t="shared" si="3"/>
        <v>High</v>
      </c>
      <c r="AD68" s="3">
        <f t="shared" si="4"/>
        <v>7931.7938327034126</v>
      </c>
      <c r="AE68" s="2">
        <f t="shared" si="5"/>
        <v>0.94790364627117207</v>
      </c>
    </row>
    <row r="69" spans="1:31" x14ac:dyDescent="0.25">
      <c r="A69" t="s">
        <v>32</v>
      </c>
      <c r="B69" t="s">
        <v>120</v>
      </c>
      <c r="C69">
        <v>87.755432354001002</v>
      </c>
      <c r="D69">
        <v>16</v>
      </c>
      <c r="E69">
        <v>513</v>
      </c>
      <c r="F69">
        <v>9473.7980325083299</v>
      </c>
      <c r="G69" t="s">
        <v>37</v>
      </c>
      <c r="H69">
        <v>12</v>
      </c>
      <c r="I69">
        <v>9</v>
      </c>
      <c r="J69">
        <v>71</v>
      </c>
      <c r="K69">
        <v>9</v>
      </c>
      <c r="L69" t="s">
        <v>42</v>
      </c>
      <c r="M69">
        <v>9.1478115447106294</v>
      </c>
      <c r="N69" t="s">
        <v>38</v>
      </c>
      <c r="O69" t="s">
        <v>28</v>
      </c>
      <c r="P69">
        <v>10</v>
      </c>
      <c r="Q69">
        <v>198</v>
      </c>
      <c r="R69">
        <v>11</v>
      </c>
      <c r="S69">
        <v>7.0578761469782298</v>
      </c>
      <c r="T69" t="s">
        <v>63</v>
      </c>
      <c r="U69">
        <v>0.131955444311814</v>
      </c>
      <c r="V69" t="s">
        <v>55</v>
      </c>
      <c r="W69" t="s">
        <v>40</v>
      </c>
      <c r="X69">
        <v>169.27180138478599</v>
      </c>
      <c r="Z69" s="3">
        <f>SupplyData[[#This Row],[Revenue generated]]/SupplyData[[#This Row],[Number of products sold]]</f>
        <v>18.467442558495769</v>
      </c>
      <c r="AA69" s="3">
        <f>SupplyData[[#This Row],[Manufacturing costs]]/SupplyData[[#This Row],[Production volumes]]</f>
        <v>3.5645839126152677E-2</v>
      </c>
      <c r="AB69" s="2">
        <f>SupplyData[[#This Row],[Costs]]/SupplyData[[#This Row],[Revenue generated]]</f>
        <v>1.7867364366851372E-2</v>
      </c>
      <c r="AC69" t="str">
        <f t="shared" si="3"/>
        <v>Medium</v>
      </c>
      <c r="AD69" s="3">
        <f t="shared" si="4"/>
        <v>9297.468354976565</v>
      </c>
      <c r="AE69" s="2">
        <f t="shared" si="5"/>
        <v>0.9813876465461151</v>
      </c>
    </row>
    <row r="70" spans="1:31" x14ac:dyDescent="0.25">
      <c r="A70" t="s">
        <v>24</v>
      </c>
      <c r="B70" t="s">
        <v>121</v>
      </c>
      <c r="C70">
        <v>37.931812382790298</v>
      </c>
      <c r="D70">
        <v>29</v>
      </c>
      <c r="E70">
        <v>163</v>
      </c>
      <c r="F70">
        <v>3550.21843278099</v>
      </c>
      <c r="G70" t="s">
        <v>54</v>
      </c>
      <c r="H70">
        <v>0</v>
      </c>
      <c r="I70">
        <v>8</v>
      </c>
      <c r="J70">
        <v>58</v>
      </c>
      <c r="K70">
        <v>8</v>
      </c>
      <c r="L70" t="s">
        <v>26</v>
      </c>
      <c r="M70">
        <v>1.19425186488499</v>
      </c>
      <c r="N70" t="s">
        <v>60</v>
      </c>
      <c r="O70" t="s">
        <v>52</v>
      </c>
      <c r="P70">
        <v>2</v>
      </c>
      <c r="Q70">
        <v>375</v>
      </c>
      <c r="R70">
        <v>18</v>
      </c>
      <c r="S70">
        <v>97.113581563462205</v>
      </c>
      <c r="T70" t="s">
        <v>45</v>
      </c>
      <c r="U70">
        <v>1.9834678721741801</v>
      </c>
      <c r="V70" t="s">
        <v>46</v>
      </c>
      <c r="W70" t="s">
        <v>47</v>
      </c>
      <c r="X70">
        <v>299.70630311810299</v>
      </c>
      <c r="Z70" s="3">
        <f>SupplyData[[#This Row],[Revenue generated]]/SupplyData[[#This Row],[Number of products sold]]</f>
        <v>21.780481182705461</v>
      </c>
      <c r="AA70" s="3">
        <f>SupplyData[[#This Row],[Manufacturing costs]]/SupplyData[[#This Row],[Production volumes]]</f>
        <v>0.25896955083589923</v>
      </c>
      <c r="AB70" s="2">
        <f>SupplyData[[#This Row],[Costs]]/SupplyData[[#This Row],[Revenue generated]]</f>
        <v>8.4419116398799801E-2</v>
      </c>
      <c r="AC70" t="str">
        <f t="shared" si="3"/>
        <v>Medium</v>
      </c>
      <c r="AD70" s="3">
        <f t="shared" si="4"/>
        <v>3153.3985480994252</v>
      </c>
      <c r="AE70" s="2">
        <f t="shared" si="5"/>
        <v>0.88822662824982168</v>
      </c>
    </row>
    <row r="71" spans="1:31" x14ac:dyDescent="0.25">
      <c r="A71" t="s">
        <v>32</v>
      </c>
      <c r="B71" t="s">
        <v>122</v>
      </c>
      <c r="C71">
        <v>54.865528517069698</v>
      </c>
      <c r="D71">
        <v>62</v>
      </c>
      <c r="E71">
        <v>511</v>
      </c>
      <c r="F71">
        <v>1752.3810874841199</v>
      </c>
      <c r="G71" t="s">
        <v>34</v>
      </c>
      <c r="H71">
        <v>95</v>
      </c>
      <c r="I71">
        <v>1</v>
      </c>
      <c r="J71">
        <v>27</v>
      </c>
      <c r="K71">
        <v>3</v>
      </c>
      <c r="L71" t="s">
        <v>26</v>
      </c>
      <c r="M71">
        <v>9.7052867901203399</v>
      </c>
      <c r="N71" t="s">
        <v>51</v>
      </c>
      <c r="O71" t="s">
        <v>44</v>
      </c>
      <c r="P71">
        <v>9</v>
      </c>
      <c r="Q71">
        <v>862</v>
      </c>
      <c r="R71">
        <v>7</v>
      </c>
      <c r="S71">
        <v>77.627765812748095</v>
      </c>
      <c r="T71" t="s">
        <v>29</v>
      </c>
      <c r="U71">
        <v>1.3623879886490999</v>
      </c>
      <c r="V71" t="s">
        <v>39</v>
      </c>
      <c r="W71" t="s">
        <v>47</v>
      </c>
      <c r="X71">
        <v>207.66320620857499</v>
      </c>
      <c r="Z71" s="3">
        <f>SupplyData[[#This Row],[Revenue generated]]/SupplyData[[#This Row],[Number of products sold]]</f>
        <v>3.4293171966421134</v>
      </c>
      <c r="AA71" s="3">
        <f>SupplyData[[#This Row],[Manufacturing costs]]/SupplyData[[#This Row],[Production volumes]]</f>
        <v>9.0055412775809848E-2</v>
      </c>
      <c r="AB71" s="2">
        <f>SupplyData[[#This Row],[Costs]]/SupplyData[[#This Row],[Revenue generated]]</f>
        <v>0.11850345092842532</v>
      </c>
      <c r="AC71" t="str">
        <f t="shared" si="3"/>
        <v>Low</v>
      </c>
      <c r="AD71" s="3">
        <f t="shared" si="4"/>
        <v>1467.0901154627968</v>
      </c>
      <c r="AE71" s="2">
        <f t="shared" si="5"/>
        <v>0.83719809916979127</v>
      </c>
    </row>
    <row r="72" spans="1:31" x14ac:dyDescent="0.25">
      <c r="A72" t="s">
        <v>24</v>
      </c>
      <c r="B72" t="s">
        <v>123</v>
      </c>
      <c r="C72">
        <v>47.914541824058702</v>
      </c>
      <c r="D72">
        <v>90</v>
      </c>
      <c r="E72">
        <v>32</v>
      </c>
      <c r="F72">
        <v>7014.8879872033804</v>
      </c>
      <c r="G72" t="s">
        <v>34</v>
      </c>
      <c r="H72">
        <v>10</v>
      </c>
      <c r="I72">
        <v>12</v>
      </c>
      <c r="J72">
        <v>22</v>
      </c>
      <c r="K72">
        <v>4</v>
      </c>
      <c r="L72" t="s">
        <v>26</v>
      </c>
      <c r="M72">
        <v>6.3157177546007199</v>
      </c>
      <c r="N72" t="s">
        <v>38</v>
      </c>
      <c r="O72" t="s">
        <v>52</v>
      </c>
      <c r="P72">
        <v>22</v>
      </c>
      <c r="Q72">
        <v>775</v>
      </c>
      <c r="R72">
        <v>16</v>
      </c>
      <c r="S72">
        <v>11.440781823761199</v>
      </c>
      <c r="T72" t="s">
        <v>63</v>
      </c>
      <c r="U72">
        <v>1.8305755986122301</v>
      </c>
      <c r="V72" t="s">
        <v>30</v>
      </c>
      <c r="W72" t="s">
        <v>40</v>
      </c>
      <c r="X72">
        <v>183.27289874871099</v>
      </c>
      <c r="Z72" s="3">
        <f>SupplyData[[#This Row],[Revenue generated]]/SupplyData[[#This Row],[Number of products sold]]</f>
        <v>219.21524960010564</v>
      </c>
      <c r="AA72" s="3">
        <f>SupplyData[[#This Row],[Manufacturing costs]]/SupplyData[[#This Row],[Production volumes]]</f>
        <v>1.4762299127433806E-2</v>
      </c>
      <c r="AB72" s="2">
        <f>SupplyData[[#This Row],[Costs]]/SupplyData[[#This Row],[Revenue generated]]</f>
        <v>2.6126275869698703E-2</v>
      </c>
      <c r="AC72" t="str">
        <f t="shared" si="3"/>
        <v>Medium</v>
      </c>
      <c r="AD72" s="3">
        <f t="shared" si="4"/>
        <v>6820.1743066309082</v>
      </c>
      <c r="AE72" s="2">
        <f t="shared" si="5"/>
        <v>0.97224279547618286</v>
      </c>
    </row>
    <row r="73" spans="1:31" x14ac:dyDescent="0.25">
      <c r="A73" t="s">
        <v>56</v>
      </c>
      <c r="B73" t="s">
        <v>124</v>
      </c>
      <c r="C73">
        <v>6.3815331627479601</v>
      </c>
      <c r="D73">
        <v>14</v>
      </c>
      <c r="E73">
        <v>637</v>
      </c>
      <c r="F73">
        <v>8180.3370854254399</v>
      </c>
      <c r="G73" t="s">
        <v>34</v>
      </c>
      <c r="H73">
        <v>76</v>
      </c>
      <c r="I73">
        <v>2</v>
      </c>
      <c r="J73">
        <v>26</v>
      </c>
      <c r="K73">
        <v>6</v>
      </c>
      <c r="L73" t="s">
        <v>35</v>
      </c>
      <c r="M73">
        <v>9.2281903170525101</v>
      </c>
      <c r="N73" t="s">
        <v>60</v>
      </c>
      <c r="O73" t="s">
        <v>52</v>
      </c>
      <c r="P73">
        <v>2</v>
      </c>
      <c r="Q73">
        <v>258</v>
      </c>
      <c r="R73">
        <v>10</v>
      </c>
      <c r="S73">
        <v>30.661677477859499</v>
      </c>
      <c r="T73" t="s">
        <v>29</v>
      </c>
      <c r="U73">
        <v>2.07875060787496</v>
      </c>
      <c r="V73" t="s">
        <v>30</v>
      </c>
      <c r="W73" t="s">
        <v>47</v>
      </c>
      <c r="X73">
        <v>405.167067888855</v>
      </c>
      <c r="Z73" s="3">
        <f>SupplyData[[#This Row],[Revenue generated]]/SupplyData[[#This Row],[Number of products sold]]</f>
        <v>12.841973446507755</v>
      </c>
      <c r="AA73" s="3">
        <f>SupplyData[[#This Row],[Manufacturing costs]]/SupplyData[[#This Row],[Production volumes]]</f>
        <v>0.11884371115449419</v>
      </c>
      <c r="AB73" s="2">
        <f>SupplyData[[#This Row],[Costs]]/SupplyData[[#This Row],[Revenue generated]]</f>
        <v>4.9529385361237008E-2</v>
      </c>
      <c r="AC73" t="str">
        <f t="shared" si="3"/>
        <v>Low</v>
      </c>
      <c r="AD73" s="3">
        <f t="shared" si="4"/>
        <v>7744.5083400587255</v>
      </c>
      <c r="AE73" s="2">
        <f t="shared" si="5"/>
        <v>0.94672239776729838</v>
      </c>
    </row>
    <row r="74" spans="1:31" x14ac:dyDescent="0.25">
      <c r="A74" t="s">
        <v>56</v>
      </c>
      <c r="B74" t="s">
        <v>125</v>
      </c>
      <c r="C74">
        <v>90.204427520528</v>
      </c>
      <c r="D74">
        <v>88</v>
      </c>
      <c r="E74">
        <v>478</v>
      </c>
      <c r="F74">
        <v>2633.1219813122498</v>
      </c>
      <c r="G74" t="s">
        <v>54</v>
      </c>
      <c r="H74">
        <v>57</v>
      </c>
      <c r="I74">
        <v>29</v>
      </c>
      <c r="J74">
        <v>77</v>
      </c>
      <c r="K74">
        <v>9</v>
      </c>
      <c r="L74" t="s">
        <v>35</v>
      </c>
      <c r="M74">
        <v>6.5996141596895397</v>
      </c>
      <c r="N74" t="s">
        <v>38</v>
      </c>
      <c r="O74" t="s">
        <v>52</v>
      </c>
      <c r="P74">
        <v>21</v>
      </c>
      <c r="Q74">
        <v>152</v>
      </c>
      <c r="R74">
        <v>11</v>
      </c>
      <c r="S74">
        <v>55.760492895244198</v>
      </c>
      <c r="T74" t="s">
        <v>29</v>
      </c>
      <c r="U74">
        <v>3.2133296074383</v>
      </c>
      <c r="V74" t="s">
        <v>46</v>
      </c>
      <c r="W74" t="s">
        <v>31</v>
      </c>
      <c r="X74">
        <v>677.94456984618296</v>
      </c>
      <c r="Z74" s="3">
        <f>SupplyData[[#This Row],[Revenue generated]]/SupplyData[[#This Row],[Number of products sold]]</f>
        <v>5.5086233918666316</v>
      </c>
      <c r="AA74" s="3">
        <f>SupplyData[[#This Row],[Manufacturing costs]]/SupplyData[[#This Row],[Production volumes]]</f>
        <v>0.3668453479950276</v>
      </c>
      <c r="AB74" s="2">
        <f>SupplyData[[#This Row],[Costs]]/SupplyData[[#This Row],[Revenue generated]]</f>
        <v>0.25746796945135092</v>
      </c>
      <c r="AC74" t="str">
        <f t="shared" si="3"/>
        <v>Medium</v>
      </c>
      <c r="AD74" s="3">
        <f t="shared" si="4"/>
        <v>1899.4169185708226</v>
      </c>
      <c r="AE74" s="2">
        <f t="shared" si="5"/>
        <v>0.72135546019186858</v>
      </c>
    </row>
    <row r="75" spans="1:31" x14ac:dyDescent="0.25">
      <c r="A75" t="s">
        <v>56</v>
      </c>
      <c r="B75" t="s">
        <v>126</v>
      </c>
      <c r="C75">
        <v>83.851017681304597</v>
      </c>
      <c r="D75">
        <v>41</v>
      </c>
      <c r="E75">
        <v>375</v>
      </c>
      <c r="F75">
        <v>7910.8869161406801</v>
      </c>
      <c r="G75" t="s">
        <v>54</v>
      </c>
      <c r="H75">
        <v>17</v>
      </c>
      <c r="I75">
        <v>25</v>
      </c>
      <c r="J75">
        <v>66</v>
      </c>
      <c r="K75">
        <v>5</v>
      </c>
      <c r="L75" t="s">
        <v>26</v>
      </c>
      <c r="M75">
        <v>1.5129368369160701</v>
      </c>
      <c r="N75" t="s">
        <v>51</v>
      </c>
      <c r="O75" t="s">
        <v>61</v>
      </c>
      <c r="P75">
        <v>13</v>
      </c>
      <c r="Q75">
        <v>444</v>
      </c>
      <c r="R75">
        <v>4</v>
      </c>
      <c r="S75">
        <v>46.870238797617098</v>
      </c>
      <c r="T75" t="s">
        <v>45</v>
      </c>
      <c r="U75">
        <v>4.6205460645137002</v>
      </c>
      <c r="V75" t="s">
        <v>30</v>
      </c>
      <c r="W75" t="s">
        <v>47</v>
      </c>
      <c r="X75">
        <v>866.472800129657</v>
      </c>
      <c r="Z75" s="3">
        <f>SupplyData[[#This Row],[Revenue generated]]/SupplyData[[#This Row],[Number of products sold]]</f>
        <v>21.095698443041815</v>
      </c>
      <c r="AA75" s="3">
        <f>SupplyData[[#This Row],[Manufacturing costs]]/SupplyData[[#This Row],[Production volumes]]</f>
        <v>0.105563600895534</v>
      </c>
      <c r="AB75" s="2">
        <f>SupplyData[[#This Row],[Costs]]/SupplyData[[#This Row],[Revenue generated]]</f>
        <v>0.10952916017062282</v>
      </c>
      <c r="AC75" t="str">
        <f t="shared" si="3"/>
        <v>High</v>
      </c>
      <c r="AD75" s="3">
        <f t="shared" si="4"/>
        <v>6997.5438772134057</v>
      </c>
      <c r="AE75" s="2">
        <f t="shared" si="5"/>
        <v>0.8845460630888593</v>
      </c>
    </row>
    <row r="76" spans="1:31" x14ac:dyDescent="0.25">
      <c r="A76" t="s">
        <v>24</v>
      </c>
      <c r="B76" t="s">
        <v>127</v>
      </c>
      <c r="C76">
        <v>3.1700114135661499</v>
      </c>
      <c r="D76">
        <v>64</v>
      </c>
      <c r="E76">
        <v>904</v>
      </c>
      <c r="F76">
        <v>5709.9452959692799</v>
      </c>
      <c r="G76" t="s">
        <v>34</v>
      </c>
      <c r="H76">
        <v>41</v>
      </c>
      <c r="I76">
        <v>6</v>
      </c>
      <c r="J76">
        <v>1</v>
      </c>
      <c r="K76">
        <v>5</v>
      </c>
      <c r="L76" t="s">
        <v>35</v>
      </c>
      <c r="M76">
        <v>5.2376546500374399</v>
      </c>
      <c r="N76" t="s">
        <v>51</v>
      </c>
      <c r="O76" t="s">
        <v>49</v>
      </c>
      <c r="P76">
        <v>1</v>
      </c>
      <c r="Q76">
        <v>919</v>
      </c>
      <c r="R76">
        <v>9</v>
      </c>
      <c r="S76">
        <v>80.580852156447804</v>
      </c>
      <c r="T76" t="s">
        <v>45</v>
      </c>
      <c r="U76">
        <v>0.39661272410993498</v>
      </c>
      <c r="V76" t="s">
        <v>46</v>
      </c>
      <c r="W76" t="s">
        <v>47</v>
      </c>
      <c r="X76">
        <v>341.55265678322297</v>
      </c>
      <c r="Z76" s="3">
        <f>SupplyData[[#This Row],[Revenue generated]]/SupplyData[[#This Row],[Number of products sold]]</f>
        <v>6.3163111681076103</v>
      </c>
      <c r="AA76" s="3">
        <f>SupplyData[[#This Row],[Manufacturing costs]]/SupplyData[[#This Row],[Production volumes]]</f>
        <v>8.7683190594611327E-2</v>
      </c>
      <c r="AB76" s="2">
        <f>SupplyData[[#This Row],[Costs]]/SupplyData[[#This Row],[Revenue generated]]</f>
        <v>5.981715044176153E-2</v>
      </c>
      <c r="AC76" t="str">
        <f t="shared" si="3"/>
        <v>Medium</v>
      </c>
      <c r="AD76" s="3">
        <f t="shared" si="4"/>
        <v>5287.8117870296091</v>
      </c>
      <c r="AE76" s="2">
        <f t="shared" si="5"/>
        <v>0.92607048105387979</v>
      </c>
    </row>
    <row r="77" spans="1:31" x14ac:dyDescent="0.25">
      <c r="A77" t="s">
        <v>32</v>
      </c>
      <c r="B77" t="s">
        <v>128</v>
      </c>
      <c r="C77">
        <v>92.996884233970604</v>
      </c>
      <c r="D77">
        <v>29</v>
      </c>
      <c r="E77">
        <v>106</v>
      </c>
      <c r="F77">
        <v>1889.07358977933</v>
      </c>
      <c r="G77" t="s">
        <v>34</v>
      </c>
      <c r="H77">
        <v>16</v>
      </c>
      <c r="I77">
        <v>20</v>
      </c>
      <c r="J77">
        <v>56</v>
      </c>
      <c r="K77">
        <v>10</v>
      </c>
      <c r="L77" t="s">
        <v>42</v>
      </c>
      <c r="M77">
        <v>2.47389776104546</v>
      </c>
      <c r="N77" t="s">
        <v>38</v>
      </c>
      <c r="O77" t="s">
        <v>61</v>
      </c>
      <c r="P77">
        <v>25</v>
      </c>
      <c r="Q77">
        <v>759</v>
      </c>
      <c r="R77">
        <v>11</v>
      </c>
      <c r="S77">
        <v>48.064782640006499</v>
      </c>
      <c r="T77" t="s">
        <v>63</v>
      </c>
      <c r="U77">
        <v>2.0300690886687498</v>
      </c>
      <c r="V77" t="s">
        <v>39</v>
      </c>
      <c r="W77" t="s">
        <v>40</v>
      </c>
      <c r="X77">
        <v>873.12964801765099</v>
      </c>
      <c r="Z77" s="3">
        <f>SupplyData[[#This Row],[Revenue generated]]/SupplyData[[#This Row],[Number of products sold]]</f>
        <v>17.821448960182359</v>
      </c>
      <c r="AA77" s="3">
        <f>SupplyData[[#This Row],[Manufacturing costs]]/SupplyData[[#This Row],[Production volumes]]</f>
        <v>6.3326459341247032E-2</v>
      </c>
      <c r="AB77" s="2">
        <f>SupplyData[[#This Row],[Costs]]/SupplyData[[#This Row],[Revenue generated]]</f>
        <v>0.46219991256118542</v>
      </c>
      <c r="AC77" t="str">
        <f t="shared" si="3"/>
        <v>High</v>
      </c>
      <c r="AD77" s="3">
        <f t="shared" si="4"/>
        <v>967.87915912167239</v>
      </c>
      <c r="AE77" s="2">
        <f t="shared" si="5"/>
        <v>0.51235651398563786</v>
      </c>
    </row>
    <row r="78" spans="1:31" x14ac:dyDescent="0.25">
      <c r="A78" t="s">
        <v>24</v>
      </c>
      <c r="B78" t="s">
        <v>129</v>
      </c>
      <c r="C78">
        <v>69.108799547430294</v>
      </c>
      <c r="D78">
        <v>23</v>
      </c>
      <c r="E78">
        <v>241</v>
      </c>
      <c r="F78">
        <v>5328.3759842977497</v>
      </c>
      <c r="G78" t="s">
        <v>54</v>
      </c>
      <c r="H78">
        <v>38</v>
      </c>
      <c r="I78">
        <v>1</v>
      </c>
      <c r="J78">
        <v>22</v>
      </c>
      <c r="K78">
        <v>10</v>
      </c>
      <c r="L78" t="s">
        <v>35</v>
      </c>
      <c r="M78">
        <v>7.0545383368369201</v>
      </c>
      <c r="N78" t="s">
        <v>60</v>
      </c>
      <c r="O78" t="s">
        <v>52</v>
      </c>
      <c r="P78">
        <v>25</v>
      </c>
      <c r="Q78">
        <v>985</v>
      </c>
      <c r="R78">
        <v>24</v>
      </c>
      <c r="S78">
        <v>64.323597795600193</v>
      </c>
      <c r="T78" t="s">
        <v>29</v>
      </c>
      <c r="U78">
        <v>2.1800374515822099</v>
      </c>
      <c r="V78" t="s">
        <v>46</v>
      </c>
      <c r="W78" t="s">
        <v>47</v>
      </c>
      <c r="X78">
        <v>997.41345013319403</v>
      </c>
      <c r="Z78" s="3">
        <f>SupplyData[[#This Row],[Revenue generated]]/SupplyData[[#This Row],[Number of products sold]]</f>
        <v>22.109443918247923</v>
      </c>
      <c r="AA78" s="3">
        <f>SupplyData[[#This Row],[Manufacturing costs]]/SupplyData[[#This Row],[Production volumes]]</f>
        <v>6.530314497015248E-2</v>
      </c>
      <c r="AB78" s="2">
        <f>SupplyData[[#This Row],[Costs]]/SupplyData[[#This Row],[Revenue generated]]</f>
        <v>0.18718901464019858</v>
      </c>
      <c r="AC78" t="str">
        <f t="shared" si="3"/>
        <v>Medium</v>
      </c>
      <c r="AD78" s="3">
        <f t="shared" si="4"/>
        <v>4266.6389363689559</v>
      </c>
      <c r="AE78" s="2">
        <f t="shared" si="5"/>
        <v>0.80073908991076481</v>
      </c>
    </row>
    <row r="79" spans="1:31" x14ac:dyDescent="0.25">
      <c r="A79" t="s">
        <v>24</v>
      </c>
      <c r="B79" t="s">
        <v>130</v>
      </c>
      <c r="C79">
        <v>57.449742958971399</v>
      </c>
      <c r="D79">
        <v>14</v>
      </c>
      <c r="E79">
        <v>359</v>
      </c>
      <c r="F79">
        <v>2483.7601775427902</v>
      </c>
      <c r="G79" t="s">
        <v>37</v>
      </c>
      <c r="H79">
        <v>96</v>
      </c>
      <c r="I79">
        <v>28</v>
      </c>
      <c r="J79">
        <v>57</v>
      </c>
      <c r="K79">
        <v>4</v>
      </c>
      <c r="L79" t="s">
        <v>26</v>
      </c>
      <c r="M79">
        <v>6.7809466256178901</v>
      </c>
      <c r="N79" t="s">
        <v>38</v>
      </c>
      <c r="O79" t="s">
        <v>44</v>
      </c>
      <c r="P79">
        <v>26</v>
      </c>
      <c r="Q79">
        <v>334</v>
      </c>
      <c r="R79">
        <v>5</v>
      </c>
      <c r="S79">
        <v>42.952444748991802</v>
      </c>
      <c r="T79" t="s">
        <v>63</v>
      </c>
      <c r="U79">
        <v>3.0551418183075398</v>
      </c>
      <c r="V79" t="s">
        <v>30</v>
      </c>
      <c r="W79" t="s">
        <v>31</v>
      </c>
      <c r="X79">
        <v>852.56809891984994</v>
      </c>
      <c r="Z79" s="3">
        <f>SupplyData[[#This Row],[Revenue generated]]/SupplyData[[#This Row],[Number of products sold]]</f>
        <v>6.9185520265815885</v>
      </c>
      <c r="AA79" s="3">
        <f>SupplyData[[#This Row],[Manufacturing costs]]/SupplyData[[#This Row],[Production volumes]]</f>
        <v>0.12860013397901737</v>
      </c>
      <c r="AB79" s="2">
        <f>SupplyData[[#This Row],[Costs]]/SupplyData[[#This Row],[Revenue generated]]</f>
        <v>0.34325701274561238</v>
      </c>
      <c r="AC79" t="str">
        <f t="shared" si="3"/>
        <v>Low</v>
      </c>
      <c r="AD79" s="3">
        <f t="shared" si="4"/>
        <v>1588.2396338739486</v>
      </c>
      <c r="AE79" s="2">
        <f t="shared" si="5"/>
        <v>0.63944967321491186</v>
      </c>
    </row>
    <row r="80" spans="1:31" x14ac:dyDescent="0.25">
      <c r="A80" t="s">
        <v>24</v>
      </c>
      <c r="B80" t="s">
        <v>131</v>
      </c>
      <c r="C80">
        <v>6.30688317611191</v>
      </c>
      <c r="D80">
        <v>50</v>
      </c>
      <c r="E80">
        <v>946</v>
      </c>
      <c r="F80">
        <v>1292.45841793775</v>
      </c>
      <c r="G80" t="s">
        <v>37</v>
      </c>
      <c r="H80">
        <v>5</v>
      </c>
      <c r="I80">
        <v>4</v>
      </c>
      <c r="J80">
        <v>51</v>
      </c>
      <c r="K80">
        <v>5</v>
      </c>
      <c r="L80" t="s">
        <v>26</v>
      </c>
      <c r="M80">
        <v>8.4670497708619905</v>
      </c>
      <c r="N80" t="s">
        <v>43</v>
      </c>
      <c r="O80" t="s">
        <v>28</v>
      </c>
      <c r="P80">
        <v>25</v>
      </c>
      <c r="Q80">
        <v>858</v>
      </c>
      <c r="R80">
        <v>21</v>
      </c>
      <c r="S80">
        <v>71.126514720403307</v>
      </c>
      <c r="T80" t="s">
        <v>29</v>
      </c>
      <c r="U80">
        <v>4.0968813324704501</v>
      </c>
      <c r="V80" t="s">
        <v>55</v>
      </c>
      <c r="W80" t="s">
        <v>40</v>
      </c>
      <c r="X80">
        <v>323.59220343132199</v>
      </c>
      <c r="Z80" s="3">
        <f>SupplyData[[#This Row],[Revenue generated]]/SupplyData[[#This Row],[Number of products sold]]</f>
        <v>1.3662351140991016</v>
      </c>
      <c r="AA80" s="3">
        <f>SupplyData[[#This Row],[Manufacturing costs]]/SupplyData[[#This Row],[Production volumes]]</f>
        <v>8.2898035804665857E-2</v>
      </c>
      <c r="AB80" s="2">
        <f>SupplyData[[#This Row],[Costs]]/SupplyData[[#This Row],[Revenue generated]]</f>
        <v>0.25036952751458458</v>
      </c>
      <c r="AC80" t="str">
        <f t="shared" si="3"/>
        <v>Medium</v>
      </c>
      <c r="AD80" s="3">
        <f t="shared" si="4"/>
        <v>897.73969978602474</v>
      </c>
      <c r="AE80" s="2">
        <f t="shared" si="5"/>
        <v>0.69459851653754601</v>
      </c>
    </row>
    <row r="81" spans="1:31" x14ac:dyDescent="0.25">
      <c r="A81" t="s">
        <v>24</v>
      </c>
      <c r="B81" t="s">
        <v>132</v>
      </c>
      <c r="C81">
        <v>57.057031221103202</v>
      </c>
      <c r="D81">
        <v>56</v>
      </c>
      <c r="E81">
        <v>198</v>
      </c>
      <c r="F81">
        <v>7888.7232684270803</v>
      </c>
      <c r="G81" t="s">
        <v>54</v>
      </c>
      <c r="H81">
        <v>31</v>
      </c>
      <c r="I81">
        <v>25</v>
      </c>
      <c r="J81">
        <v>20</v>
      </c>
      <c r="K81">
        <v>1</v>
      </c>
      <c r="L81" t="s">
        <v>26</v>
      </c>
      <c r="M81">
        <v>6.49632536429504</v>
      </c>
      <c r="N81" t="s">
        <v>27</v>
      </c>
      <c r="O81" t="s">
        <v>52</v>
      </c>
      <c r="P81">
        <v>5</v>
      </c>
      <c r="Q81">
        <v>228</v>
      </c>
      <c r="R81">
        <v>12</v>
      </c>
      <c r="S81">
        <v>57.870902924036201</v>
      </c>
      <c r="T81" t="s">
        <v>29</v>
      </c>
      <c r="U81">
        <v>0.16587162748060799</v>
      </c>
      <c r="V81" t="s">
        <v>39</v>
      </c>
      <c r="W81" t="s">
        <v>40</v>
      </c>
      <c r="X81">
        <v>351.50421933503799</v>
      </c>
      <c r="Z81" s="3">
        <f>SupplyData[[#This Row],[Revenue generated]]/SupplyData[[#This Row],[Number of products sold]]</f>
        <v>39.842036709227678</v>
      </c>
      <c r="AA81" s="3">
        <f>SupplyData[[#This Row],[Manufacturing costs]]/SupplyData[[#This Row],[Production volumes]]</f>
        <v>0.25381974966682547</v>
      </c>
      <c r="AB81" s="2">
        <f>SupplyData[[#This Row],[Costs]]/SupplyData[[#This Row],[Revenue generated]]</f>
        <v>4.4557808326457352E-2</v>
      </c>
      <c r="AC81" t="str">
        <f t="shared" si="3"/>
        <v>Medium</v>
      </c>
      <c r="AD81" s="3">
        <f t="shared" si="4"/>
        <v>7479.3481461680058</v>
      </c>
      <c r="AE81" s="2">
        <f t="shared" si="5"/>
        <v>0.94810628940458463</v>
      </c>
    </row>
    <row r="82" spans="1:31" x14ac:dyDescent="0.25">
      <c r="A82" t="s">
        <v>32</v>
      </c>
      <c r="B82" t="s">
        <v>133</v>
      </c>
      <c r="C82">
        <v>91.128318350444303</v>
      </c>
      <c r="D82">
        <v>75</v>
      </c>
      <c r="E82">
        <v>872</v>
      </c>
      <c r="F82">
        <v>8651.67268298206</v>
      </c>
      <c r="G82" t="s">
        <v>37</v>
      </c>
      <c r="H82">
        <v>39</v>
      </c>
      <c r="I82">
        <v>14</v>
      </c>
      <c r="J82">
        <v>41</v>
      </c>
      <c r="K82">
        <v>2</v>
      </c>
      <c r="L82" t="s">
        <v>42</v>
      </c>
      <c r="M82">
        <v>2.8331846794189701</v>
      </c>
      <c r="N82" t="s">
        <v>27</v>
      </c>
      <c r="O82" t="s">
        <v>61</v>
      </c>
      <c r="P82">
        <v>8</v>
      </c>
      <c r="Q82">
        <v>202</v>
      </c>
      <c r="R82">
        <v>5</v>
      </c>
      <c r="S82">
        <v>76.961228023819999</v>
      </c>
      <c r="T82" t="s">
        <v>45</v>
      </c>
      <c r="U82">
        <v>2.8496621985053299</v>
      </c>
      <c r="V82" t="s">
        <v>55</v>
      </c>
      <c r="W82" t="s">
        <v>31</v>
      </c>
      <c r="X82">
        <v>787.77985049434403</v>
      </c>
      <c r="Z82" s="3">
        <f>SupplyData[[#This Row],[Revenue generated]]/SupplyData[[#This Row],[Number of products sold]]</f>
        <v>9.9216429850711698</v>
      </c>
      <c r="AA82" s="3">
        <f>SupplyData[[#This Row],[Manufacturing costs]]/SupplyData[[#This Row],[Production volumes]]</f>
        <v>0.38099617833574256</v>
      </c>
      <c r="AB82" s="2">
        <f>SupplyData[[#This Row],[Costs]]/SupplyData[[#This Row],[Revenue generated]]</f>
        <v>9.1055207398670554E-2</v>
      </c>
      <c r="AC82" t="str">
        <f t="shared" si="3"/>
        <v>Medium</v>
      </c>
      <c r="AD82" s="3">
        <f t="shared" si="4"/>
        <v>7786.9316044638963</v>
      </c>
      <c r="AE82" s="2">
        <f t="shared" si="5"/>
        <v>0.90004926096902405</v>
      </c>
    </row>
    <row r="83" spans="1:31" x14ac:dyDescent="0.25">
      <c r="A83" t="s">
        <v>24</v>
      </c>
      <c r="B83" t="s">
        <v>134</v>
      </c>
      <c r="C83">
        <v>72.819206930318202</v>
      </c>
      <c r="D83">
        <v>9</v>
      </c>
      <c r="E83">
        <v>774</v>
      </c>
      <c r="F83">
        <v>4384.4134000458598</v>
      </c>
      <c r="G83" t="s">
        <v>37</v>
      </c>
      <c r="H83">
        <v>48</v>
      </c>
      <c r="I83">
        <v>6</v>
      </c>
      <c r="J83">
        <v>8</v>
      </c>
      <c r="K83">
        <v>5</v>
      </c>
      <c r="L83" t="s">
        <v>26</v>
      </c>
      <c r="M83">
        <v>4.0662775015120403</v>
      </c>
      <c r="N83" t="s">
        <v>27</v>
      </c>
      <c r="O83" t="s">
        <v>49</v>
      </c>
      <c r="P83">
        <v>28</v>
      </c>
      <c r="Q83">
        <v>698</v>
      </c>
      <c r="R83">
        <v>1</v>
      </c>
      <c r="S83">
        <v>19.789592941903599</v>
      </c>
      <c r="T83" t="s">
        <v>29</v>
      </c>
      <c r="U83">
        <v>2.54754712154871</v>
      </c>
      <c r="V83" t="s">
        <v>46</v>
      </c>
      <c r="W83" t="s">
        <v>31</v>
      </c>
      <c r="X83">
        <v>276.77833594679799</v>
      </c>
      <c r="Z83" s="3">
        <f>SupplyData[[#This Row],[Revenue generated]]/SupplyData[[#This Row],[Number of products sold]]</f>
        <v>5.6646167959248839</v>
      </c>
      <c r="AA83" s="3">
        <f>SupplyData[[#This Row],[Manufacturing costs]]/SupplyData[[#This Row],[Production volumes]]</f>
        <v>2.8351852352297421E-2</v>
      </c>
      <c r="AB83" s="2">
        <f>SupplyData[[#This Row],[Costs]]/SupplyData[[#This Row],[Revenue generated]]</f>
        <v>6.3127791723267462E-2</v>
      </c>
      <c r="AC83" t="str">
        <f t="shared" si="3"/>
        <v>Medium</v>
      </c>
      <c r="AD83" s="3">
        <f t="shared" si="4"/>
        <v>4087.845471157158</v>
      </c>
      <c r="AE83" s="2">
        <f t="shared" si="5"/>
        <v>0.93235858441505548</v>
      </c>
    </row>
    <row r="84" spans="1:31" x14ac:dyDescent="0.25">
      <c r="A84" t="s">
        <v>32</v>
      </c>
      <c r="B84" t="s">
        <v>135</v>
      </c>
      <c r="C84">
        <v>17.034930739467899</v>
      </c>
      <c r="D84">
        <v>13</v>
      </c>
      <c r="E84">
        <v>336</v>
      </c>
      <c r="F84">
        <v>2943.3818676094502</v>
      </c>
      <c r="G84" t="s">
        <v>37</v>
      </c>
      <c r="H84">
        <v>42</v>
      </c>
      <c r="I84">
        <v>19</v>
      </c>
      <c r="J84">
        <v>72</v>
      </c>
      <c r="K84">
        <v>1</v>
      </c>
      <c r="L84" t="s">
        <v>35</v>
      </c>
      <c r="M84">
        <v>4.7081818735419301</v>
      </c>
      <c r="N84" t="s">
        <v>60</v>
      </c>
      <c r="O84" t="s">
        <v>28</v>
      </c>
      <c r="P84">
        <v>6</v>
      </c>
      <c r="Q84">
        <v>955</v>
      </c>
      <c r="R84">
        <v>26</v>
      </c>
      <c r="S84">
        <v>4.4652784349432402</v>
      </c>
      <c r="T84" t="s">
        <v>29</v>
      </c>
      <c r="U84">
        <v>4.1378770486223502</v>
      </c>
      <c r="V84" t="s">
        <v>30</v>
      </c>
      <c r="W84" t="s">
        <v>40</v>
      </c>
      <c r="X84">
        <v>589.97855562804</v>
      </c>
      <c r="Z84" s="3">
        <f>SupplyData[[#This Row],[Revenue generated]]/SupplyData[[#This Row],[Number of products sold]]</f>
        <v>8.760065082170982</v>
      </c>
      <c r="AA84" s="3">
        <f>SupplyData[[#This Row],[Manufacturing costs]]/SupplyData[[#This Row],[Production volumes]]</f>
        <v>4.6756842250714557E-3</v>
      </c>
      <c r="AB84" s="2">
        <f>SupplyData[[#This Row],[Costs]]/SupplyData[[#This Row],[Revenue generated]]</f>
        <v>0.20044241018145822</v>
      </c>
      <c r="AC84" t="str">
        <f t="shared" si="3"/>
        <v>Medium</v>
      </c>
      <c r="AD84" s="3">
        <f t="shared" si="4"/>
        <v>2348.9380335464671</v>
      </c>
      <c r="AE84" s="2">
        <f t="shared" si="5"/>
        <v>0.79804053269317132</v>
      </c>
    </row>
    <row r="85" spans="1:31" x14ac:dyDescent="0.25">
      <c r="A85" t="s">
        <v>24</v>
      </c>
      <c r="B85" t="s">
        <v>136</v>
      </c>
      <c r="C85">
        <v>68.911246211606297</v>
      </c>
      <c r="D85">
        <v>82</v>
      </c>
      <c r="E85">
        <v>663</v>
      </c>
      <c r="F85">
        <v>2411.7546321104901</v>
      </c>
      <c r="G85" t="s">
        <v>37</v>
      </c>
      <c r="H85">
        <v>65</v>
      </c>
      <c r="I85">
        <v>24</v>
      </c>
      <c r="J85">
        <v>7</v>
      </c>
      <c r="K85">
        <v>8</v>
      </c>
      <c r="L85" t="s">
        <v>26</v>
      </c>
      <c r="M85">
        <v>4.94983957799694</v>
      </c>
      <c r="N85" t="s">
        <v>38</v>
      </c>
      <c r="O85" t="s">
        <v>52</v>
      </c>
      <c r="P85">
        <v>20</v>
      </c>
      <c r="Q85">
        <v>443</v>
      </c>
      <c r="R85">
        <v>5</v>
      </c>
      <c r="S85">
        <v>97.730593800533001</v>
      </c>
      <c r="T85" t="s">
        <v>45</v>
      </c>
      <c r="U85">
        <v>0.77300613406724705</v>
      </c>
      <c r="V85" t="s">
        <v>30</v>
      </c>
      <c r="W85" t="s">
        <v>47</v>
      </c>
      <c r="X85">
        <v>682.97101822609295</v>
      </c>
      <c r="Z85" s="3">
        <f>SupplyData[[#This Row],[Revenue generated]]/SupplyData[[#This Row],[Number of products sold]]</f>
        <v>3.6376389624592611</v>
      </c>
      <c r="AA85" s="3">
        <f>SupplyData[[#This Row],[Manufacturing costs]]/SupplyData[[#This Row],[Production volumes]]</f>
        <v>0.22061082122016479</v>
      </c>
      <c r="AB85" s="2">
        <f>SupplyData[[#This Row],[Costs]]/SupplyData[[#This Row],[Revenue generated]]</f>
        <v>0.28318428795902645</v>
      </c>
      <c r="AC85" t="str">
        <f t="shared" si="3"/>
        <v>Low</v>
      </c>
      <c r="AD85" s="3">
        <f t="shared" si="4"/>
        <v>1631.0530200838643</v>
      </c>
      <c r="AE85" s="2">
        <f t="shared" si="5"/>
        <v>0.67629310144894572</v>
      </c>
    </row>
    <row r="86" spans="1:31" x14ac:dyDescent="0.25">
      <c r="A86" t="s">
        <v>24</v>
      </c>
      <c r="B86" t="s">
        <v>137</v>
      </c>
      <c r="C86">
        <v>89.104367292102197</v>
      </c>
      <c r="D86">
        <v>99</v>
      </c>
      <c r="E86">
        <v>618</v>
      </c>
      <c r="F86">
        <v>2048.2900998487098</v>
      </c>
      <c r="G86" t="s">
        <v>37</v>
      </c>
      <c r="H86">
        <v>73</v>
      </c>
      <c r="I86">
        <v>26</v>
      </c>
      <c r="J86">
        <v>80</v>
      </c>
      <c r="K86">
        <v>10</v>
      </c>
      <c r="L86" t="s">
        <v>35</v>
      </c>
      <c r="M86">
        <v>8.3816156249226292</v>
      </c>
      <c r="N86" t="s">
        <v>43</v>
      </c>
      <c r="O86" t="s">
        <v>61</v>
      </c>
      <c r="P86">
        <v>24</v>
      </c>
      <c r="Q86">
        <v>589</v>
      </c>
      <c r="R86">
        <v>22</v>
      </c>
      <c r="S86">
        <v>33.808636513209002</v>
      </c>
      <c r="T86" t="s">
        <v>63</v>
      </c>
      <c r="U86">
        <v>4.8434565771180402</v>
      </c>
      <c r="V86" t="s">
        <v>39</v>
      </c>
      <c r="W86" t="s">
        <v>31</v>
      </c>
      <c r="X86">
        <v>465.45700596368698</v>
      </c>
      <c r="Z86" s="3">
        <f>SupplyData[[#This Row],[Revenue generated]]/SupplyData[[#This Row],[Number of products sold]]</f>
        <v>3.3143852748361002</v>
      </c>
      <c r="AA86" s="3">
        <f>SupplyData[[#This Row],[Manufacturing costs]]/SupplyData[[#This Row],[Production volumes]]</f>
        <v>5.7400061991865876E-2</v>
      </c>
      <c r="AB86" s="2">
        <f>SupplyData[[#This Row],[Costs]]/SupplyData[[#This Row],[Revenue generated]]</f>
        <v>0.22724173982878032</v>
      </c>
      <c r="AC86" t="str">
        <f t="shared" si="3"/>
        <v>Low</v>
      </c>
      <c r="AD86" s="3">
        <f t="shared" si="4"/>
        <v>1549.0244573718139</v>
      </c>
      <c r="AE86" s="2">
        <f t="shared" si="5"/>
        <v>0.75625247492346304</v>
      </c>
    </row>
    <row r="87" spans="1:31" x14ac:dyDescent="0.25">
      <c r="A87" t="s">
        <v>56</v>
      </c>
      <c r="B87" t="s">
        <v>138</v>
      </c>
      <c r="C87">
        <v>76.962994415193805</v>
      </c>
      <c r="D87">
        <v>83</v>
      </c>
      <c r="E87">
        <v>25</v>
      </c>
      <c r="F87">
        <v>8684.6130592538502</v>
      </c>
      <c r="G87" t="s">
        <v>34</v>
      </c>
      <c r="H87">
        <v>15</v>
      </c>
      <c r="I87">
        <v>18</v>
      </c>
      <c r="J87">
        <v>66</v>
      </c>
      <c r="K87">
        <v>2</v>
      </c>
      <c r="L87" t="s">
        <v>42</v>
      </c>
      <c r="M87">
        <v>8.2491687048717193</v>
      </c>
      <c r="N87" t="s">
        <v>43</v>
      </c>
      <c r="O87" t="s">
        <v>61</v>
      </c>
      <c r="P87">
        <v>4</v>
      </c>
      <c r="Q87">
        <v>211</v>
      </c>
      <c r="R87">
        <v>2</v>
      </c>
      <c r="S87">
        <v>69.929345518672307</v>
      </c>
      <c r="T87" t="s">
        <v>45</v>
      </c>
      <c r="U87">
        <v>1.3744289997457499</v>
      </c>
      <c r="V87" t="s">
        <v>30</v>
      </c>
      <c r="W87" t="s">
        <v>31</v>
      </c>
      <c r="X87">
        <v>842.68683000464102</v>
      </c>
      <c r="Z87" s="3">
        <f>SupplyData[[#This Row],[Revenue generated]]/SupplyData[[#This Row],[Number of products sold]]</f>
        <v>347.384522370154</v>
      </c>
      <c r="AA87" s="3">
        <f>SupplyData[[#This Row],[Manufacturing costs]]/SupplyData[[#This Row],[Production volumes]]</f>
        <v>0.33141869914062705</v>
      </c>
      <c r="AB87" s="2">
        <f>SupplyData[[#This Row],[Costs]]/SupplyData[[#This Row],[Revenue generated]]</f>
        <v>9.7032167611281181E-2</v>
      </c>
      <c r="AC87" t="str">
        <f t="shared" si="3"/>
        <v>High</v>
      </c>
      <c r="AD87" s="3">
        <f t="shared" si="4"/>
        <v>7771.9968837305369</v>
      </c>
      <c r="AE87" s="2">
        <f t="shared" si="5"/>
        <v>0.89491573553171955</v>
      </c>
    </row>
    <row r="88" spans="1:31" x14ac:dyDescent="0.25">
      <c r="A88" t="s">
        <v>32</v>
      </c>
      <c r="B88" t="s">
        <v>139</v>
      </c>
      <c r="C88">
        <v>19.9981769404042</v>
      </c>
      <c r="D88">
        <v>18</v>
      </c>
      <c r="E88">
        <v>223</v>
      </c>
      <c r="F88">
        <v>1229.59102856498</v>
      </c>
      <c r="G88" t="s">
        <v>37</v>
      </c>
      <c r="H88">
        <v>32</v>
      </c>
      <c r="I88">
        <v>14</v>
      </c>
      <c r="J88">
        <v>22</v>
      </c>
      <c r="K88">
        <v>6</v>
      </c>
      <c r="L88" t="s">
        <v>26</v>
      </c>
      <c r="M88">
        <v>1.4543053101535499</v>
      </c>
      <c r="N88" t="s">
        <v>38</v>
      </c>
      <c r="O88" t="s">
        <v>28</v>
      </c>
      <c r="P88">
        <v>4</v>
      </c>
      <c r="Q88">
        <v>569</v>
      </c>
      <c r="R88">
        <v>18</v>
      </c>
      <c r="S88">
        <v>74.608969995194599</v>
      </c>
      <c r="T88" t="s">
        <v>63</v>
      </c>
      <c r="U88">
        <v>2.0515129307662399</v>
      </c>
      <c r="V88" t="s">
        <v>46</v>
      </c>
      <c r="W88" t="s">
        <v>47</v>
      </c>
      <c r="X88">
        <v>264.25488983586598</v>
      </c>
      <c r="Z88" s="3">
        <f>SupplyData[[#This Row],[Revenue generated]]/SupplyData[[#This Row],[Number of products sold]]</f>
        <v>5.5138611146411662</v>
      </c>
      <c r="AA88" s="3">
        <f>SupplyData[[#This Row],[Manufacturing costs]]/SupplyData[[#This Row],[Production volumes]]</f>
        <v>0.13112297011457749</v>
      </c>
      <c r="AB88" s="2">
        <f>SupplyData[[#This Row],[Costs]]/SupplyData[[#This Row],[Revenue generated]]</f>
        <v>0.21491283174395814</v>
      </c>
      <c r="AC88" t="str">
        <f t="shared" si="3"/>
        <v>Medium</v>
      </c>
      <c r="AD88" s="3">
        <f t="shared" si="4"/>
        <v>890.72716873391937</v>
      </c>
      <c r="AE88" s="2">
        <f t="shared" si="5"/>
        <v>0.72440929385558483</v>
      </c>
    </row>
    <row r="89" spans="1:31" x14ac:dyDescent="0.25">
      <c r="A89" t="s">
        <v>24</v>
      </c>
      <c r="B89" t="s">
        <v>140</v>
      </c>
      <c r="C89">
        <v>80.414036650355698</v>
      </c>
      <c r="D89">
        <v>24</v>
      </c>
      <c r="E89">
        <v>79</v>
      </c>
      <c r="F89">
        <v>5133.8467010866898</v>
      </c>
      <c r="G89" t="s">
        <v>54</v>
      </c>
      <c r="H89">
        <v>5</v>
      </c>
      <c r="I89">
        <v>7</v>
      </c>
      <c r="J89">
        <v>55</v>
      </c>
      <c r="K89">
        <v>10</v>
      </c>
      <c r="L89" t="s">
        <v>35</v>
      </c>
      <c r="M89">
        <v>6.5758037975485299</v>
      </c>
      <c r="N89" t="s">
        <v>27</v>
      </c>
      <c r="O89" t="s">
        <v>61</v>
      </c>
      <c r="P89">
        <v>27</v>
      </c>
      <c r="Q89">
        <v>523</v>
      </c>
      <c r="R89">
        <v>17</v>
      </c>
      <c r="S89">
        <v>28.696996824143099</v>
      </c>
      <c r="T89" t="s">
        <v>45</v>
      </c>
      <c r="U89">
        <v>3.6937377878392699</v>
      </c>
      <c r="V89" t="s">
        <v>55</v>
      </c>
      <c r="W89" t="s">
        <v>31</v>
      </c>
      <c r="X89">
        <v>879.35921773492396</v>
      </c>
      <c r="Z89" s="3">
        <f>SupplyData[[#This Row],[Revenue generated]]/SupplyData[[#This Row],[Number of products sold]]</f>
        <v>64.985401279578355</v>
      </c>
      <c r="AA89" s="3">
        <f>SupplyData[[#This Row],[Manufacturing costs]]/SupplyData[[#This Row],[Production volumes]]</f>
        <v>5.4869974807156975E-2</v>
      </c>
      <c r="AB89" s="2">
        <f>SupplyData[[#This Row],[Costs]]/SupplyData[[#This Row],[Revenue generated]]</f>
        <v>0.17128661390469421</v>
      </c>
      <c r="AC89" t="str">
        <f t="shared" si="3"/>
        <v>Medium</v>
      </c>
      <c r="AD89" s="3">
        <f t="shared" si="4"/>
        <v>4225.7904865276232</v>
      </c>
      <c r="AE89" s="2">
        <f t="shared" si="5"/>
        <v>0.82312362105263936</v>
      </c>
    </row>
    <row r="90" spans="1:31" x14ac:dyDescent="0.25">
      <c r="A90" t="s">
        <v>56</v>
      </c>
      <c r="B90" t="s">
        <v>141</v>
      </c>
      <c r="C90">
        <v>75.270406975724995</v>
      </c>
      <c r="D90">
        <v>58</v>
      </c>
      <c r="E90">
        <v>737</v>
      </c>
      <c r="F90">
        <v>9444.7420330629793</v>
      </c>
      <c r="G90" t="s">
        <v>54</v>
      </c>
      <c r="H90">
        <v>60</v>
      </c>
      <c r="I90">
        <v>18</v>
      </c>
      <c r="J90">
        <v>85</v>
      </c>
      <c r="K90">
        <v>7</v>
      </c>
      <c r="L90" t="s">
        <v>35</v>
      </c>
      <c r="M90">
        <v>3.8012531329310701</v>
      </c>
      <c r="N90" t="s">
        <v>60</v>
      </c>
      <c r="O90" t="s">
        <v>28</v>
      </c>
      <c r="P90">
        <v>21</v>
      </c>
      <c r="Q90">
        <v>953</v>
      </c>
      <c r="R90">
        <v>11</v>
      </c>
      <c r="S90">
        <v>68.1849190570411</v>
      </c>
      <c r="T90" t="s">
        <v>29</v>
      </c>
      <c r="U90">
        <v>0.722204401882931</v>
      </c>
      <c r="V90" t="s">
        <v>55</v>
      </c>
      <c r="W90" t="s">
        <v>47</v>
      </c>
      <c r="X90">
        <v>103.916247960704</v>
      </c>
      <c r="Z90" s="3">
        <f>SupplyData[[#This Row],[Revenue generated]]/SupplyData[[#This Row],[Number of products sold]]</f>
        <v>12.815118090994545</v>
      </c>
      <c r="AA90" s="3">
        <f>SupplyData[[#This Row],[Manufacturing costs]]/SupplyData[[#This Row],[Production volumes]]</f>
        <v>7.1547659031522659E-2</v>
      </c>
      <c r="AB90" s="2">
        <f>SupplyData[[#This Row],[Costs]]/SupplyData[[#This Row],[Revenue generated]]</f>
        <v>1.1002550159329594E-2</v>
      </c>
      <c r="AC90" t="str">
        <f t="shared" si="3"/>
        <v>Low</v>
      </c>
      <c r="AD90" s="3">
        <f t="shared" si="4"/>
        <v>9272.6408660452344</v>
      </c>
      <c r="AE90" s="2">
        <f t="shared" si="5"/>
        <v>0.98177809765314139</v>
      </c>
    </row>
    <row r="91" spans="1:31" x14ac:dyDescent="0.25">
      <c r="A91" t="s">
        <v>56</v>
      </c>
      <c r="B91" t="s">
        <v>142</v>
      </c>
      <c r="C91">
        <v>97.760085581938597</v>
      </c>
      <c r="D91">
        <v>10</v>
      </c>
      <c r="E91">
        <v>134</v>
      </c>
      <c r="F91">
        <v>5924.6825668532301</v>
      </c>
      <c r="G91" t="s">
        <v>37</v>
      </c>
      <c r="H91">
        <v>90</v>
      </c>
      <c r="I91">
        <v>1</v>
      </c>
      <c r="J91">
        <v>27</v>
      </c>
      <c r="K91">
        <v>8</v>
      </c>
      <c r="L91" t="s">
        <v>26</v>
      </c>
      <c r="M91">
        <v>9.9298162452772498</v>
      </c>
      <c r="N91" t="s">
        <v>38</v>
      </c>
      <c r="O91" t="s">
        <v>44</v>
      </c>
      <c r="P91">
        <v>23</v>
      </c>
      <c r="Q91">
        <v>370</v>
      </c>
      <c r="R91">
        <v>11</v>
      </c>
      <c r="S91">
        <v>46.603873381644398</v>
      </c>
      <c r="T91" t="s">
        <v>29</v>
      </c>
      <c r="U91">
        <v>1.9076657339590699</v>
      </c>
      <c r="V91" t="s">
        <v>46</v>
      </c>
      <c r="W91" t="s">
        <v>31</v>
      </c>
      <c r="X91">
        <v>517.49997392906005</v>
      </c>
      <c r="Z91" s="3">
        <f>SupplyData[[#This Row],[Revenue generated]]/SupplyData[[#This Row],[Number of products sold]]</f>
        <v>44.214049006367389</v>
      </c>
      <c r="AA91" s="3">
        <f>SupplyData[[#This Row],[Manufacturing costs]]/SupplyData[[#This Row],[Production volumes]]</f>
        <v>0.12595641454498485</v>
      </c>
      <c r="AB91" s="2">
        <f>SupplyData[[#This Row],[Costs]]/SupplyData[[#This Row],[Revenue generated]]</f>
        <v>8.7346447356405663E-2</v>
      </c>
      <c r="AC91" t="str">
        <f t="shared" si="3"/>
        <v>Low</v>
      </c>
      <c r="AD91" s="3">
        <f t="shared" si="4"/>
        <v>5360.5787195425264</v>
      </c>
      <c r="AE91" s="2">
        <f t="shared" si="5"/>
        <v>0.90478749857980734</v>
      </c>
    </row>
    <row r="92" spans="1:31" x14ac:dyDescent="0.25">
      <c r="A92" t="s">
        <v>32</v>
      </c>
      <c r="B92" t="s">
        <v>143</v>
      </c>
      <c r="C92">
        <v>13.881913501359101</v>
      </c>
      <c r="D92">
        <v>56</v>
      </c>
      <c r="E92">
        <v>320</v>
      </c>
      <c r="F92">
        <v>9592.6335702803099</v>
      </c>
      <c r="G92" t="s">
        <v>34</v>
      </c>
      <c r="H92">
        <v>66</v>
      </c>
      <c r="I92">
        <v>18</v>
      </c>
      <c r="J92">
        <v>96</v>
      </c>
      <c r="K92">
        <v>7</v>
      </c>
      <c r="L92" t="s">
        <v>26</v>
      </c>
      <c r="M92">
        <v>7.6744307081126903</v>
      </c>
      <c r="N92" t="s">
        <v>27</v>
      </c>
      <c r="O92" t="s">
        <v>52</v>
      </c>
      <c r="P92">
        <v>8</v>
      </c>
      <c r="Q92">
        <v>585</v>
      </c>
      <c r="R92">
        <v>8</v>
      </c>
      <c r="S92">
        <v>85.675963335797903</v>
      </c>
      <c r="T92" t="s">
        <v>63</v>
      </c>
      <c r="U92">
        <v>1.2193822244013801</v>
      </c>
      <c r="V92" t="s">
        <v>46</v>
      </c>
      <c r="W92" t="s">
        <v>31</v>
      </c>
      <c r="X92">
        <v>990.07847250581096</v>
      </c>
      <c r="Z92" s="3">
        <f>SupplyData[[#This Row],[Revenue generated]]/SupplyData[[#This Row],[Number of products sold]]</f>
        <v>29.976979907125969</v>
      </c>
      <c r="AA92" s="3">
        <f>SupplyData[[#This Row],[Manufacturing costs]]/SupplyData[[#This Row],[Production volumes]]</f>
        <v>0.14645463818085111</v>
      </c>
      <c r="AB92" s="2">
        <f>SupplyData[[#This Row],[Costs]]/SupplyData[[#This Row],[Revenue generated]]</f>
        <v>0.10321237283296744</v>
      </c>
      <c r="AC92" t="str">
        <f t="shared" si="3"/>
        <v>Low</v>
      </c>
      <c r="AD92" s="3">
        <f t="shared" si="4"/>
        <v>8516.8791344387009</v>
      </c>
      <c r="AE92" s="2">
        <f t="shared" si="5"/>
        <v>0.88785619423903694</v>
      </c>
    </row>
    <row r="93" spans="1:31" x14ac:dyDescent="0.25">
      <c r="A93" t="s">
        <v>56</v>
      </c>
      <c r="B93" t="s">
        <v>144</v>
      </c>
      <c r="C93">
        <v>62.111965463961702</v>
      </c>
      <c r="D93">
        <v>90</v>
      </c>
      <c r="E93">
        <v>916</v>
      </c>
      <c r="F93">
        <v>1935.20679350759</v>
      </c>
      <c r="G93" t="s">
        <v>54</v>
      </c>
      <c r="H93">
        <v>98</v>
      </c>
      <c r="I93">
        <v>22</v>
      </c>
      <c r="J93">
        <v>85</v>
      </c>
      <c r="K93">
        <v>7</v>
      </c>
      <c r="L93" t="s">
        <v>26</v>
      </c>
      <c r="M93">
        <v>7.4715140844011403</v>
      </c>
      <c r="N93" t="s">
        <v>51</v>
      </c>
      <c r="O93" t="s">
        <v>49</v>
      </c>
      <c r="P93">
        <v>5</v>
      </c>
      <c r="Q93">
        <v>207</v>
      </c>
      <c r="R93">
        <v>28</v>
      </c>
      <c r="S93">
        <v>39.772882502339897</v>
      </c>
      <c r="T93" t="s">
        <v>29</v>
      </c>
      <c r="U93">
        <v>0.62600185820939402</v>
      </c>
      <c r="V93" t="s">
        <v>46</v>
      </c>
      <c r="W93" t="s">
        <v>31</v>
      </c>
      <c r="X93">
        <v>996.77831495062298</v>
      </c>
      <c r="Z93" s="3">
        <f>SupplyData[[#This Row],[Revenue generated]]/SupplyData[[#This Row],[Number of products sold]]</f>
        <v>2.1126711719515172</v>
      </c>
      <c r="AA93" s="3">
        <f>SupplyData[[#This Row],[Manufacturing costs]]/SupplyData[[#This Row],[Production volumes]]</f>
        <v>0.19213952899681111</v>
      </c>
      <c r="AB93" s="2">
        <f>SupplyData[[#This Row],[Costs]]/SupplyData[[#This Row],[Revenue generated]]</f>
        <v>0.51507586594606158</v>
      </c>
      <c r="AC93" t="str">
        <f t="shared" si="3"/>
        <v>Low</v>
      </c>
      <c r="AD93" s="3">
        <f t="shared" si="4"/>
        <v>898.65559605462715</v>
      </c>
      <c r="AE93" s="2">
        <f t="shared" si="5"/>
        <v>0.46437186923357221</v>
      </c>
    </row>
    <row r="94" spans="1:31" x14ac:dyDescent="0.25">
      <c r="A94" t="s">
        <v>56</v>
      </c>
      <c r="B94" t="s">
        <v>145</v>
      </c>
      <c r="C94">
        <v>47.714233075820196</v>
      </c>
      <c r="D94">
        <v>44</v>
      </c>
      <c r="E94">
        <v>276</v>
      </c>
      <c r="F94">
        <v>2100.1297546259302</v>
      </c>
      <c r="G94" t="s">
        <v>54</v>
      </c>
      <c r="H94">
        <v>90</v>
      </c>
      <c r="I94">
        <v>25</v>
      </c>
      <c r="J94">
        <v>10</v>
      </c>
      <c r="K94">
        <v>8</v>
      </c>
      <c r="L94" t="s">
        <v>26</v>
      </c>
      <c r="M94">
        <v>4.4695000261236002</v>
      </c>
      <c r="N94" t="s">
        <v>60</v>
      </c>
      <c r="O94" t="s">
        <v>28</v>
      </c>
      <c r="P94">
        <v>4</v>
      </c>
      <c r="Q94">
        <v>671</v>
      </c>
      <c r="R94">
        <v>29</v>
      </c>
      <c r="S94">
        <v>62.612690395614301</v>
      </c>
      <c r="T94" t="s">
        <v>63</v>
      </c>
      <c r="U94">
        <v>0.33343182522473902</v>
      </c>
      <c r="V94" t="s">
        <v>46</v>
      </c>
      <c r="W94" t="s">
        <v>31</v>
      </c>
      <c r="X94">
        <v>230.092782536762</v>
      </c>
      <c r="Z94" s="3">
        <f>SupplyData[[#This Row],[Revenue generated]]/SupplyData[[#This Row],[Number of products sold]]</f>
        <v>7.6091657776301815</v>
      </c>
      <c r="AA94" s="3">
        <f>SupplyData[[#This Row],[Manufacturing costs]]/SupplyData[[#This Row],[Production volumes]]</f>
        <v>9.3312504315371539E-2</v>
      </c>
      <c r="AB94" s="2">
        <f>SupplyData[[#This Row],[Costs]]/SupplyData[[#This Row],[Revenue generated]]</f>
        <v>0.10956122212446133</v>
      </c>
      <c r="AC94" t="str">
        <f t="shared" si="3"/>
        <v>Low</v>
      </c>
      <c r="AD94" s="3">
        <f t="shared" si="4"/>
        <v>1807.4242816935539</v>
      </c>
      <c r="AE94" s="2">
        <f t="shared" si="5"/>
        <v>0.8606250531484364</v>
      </c>
    </row>
    <row r="95" spans="1:31" x14ac:dyDescent="0.25">
      <c r="A95" t="s">
        <v>24</v>
      </c>
      <c r="B95" t="s">
        <v>146</v>
      </c>
      <c r="C95">
        <v>69.290831002905406</v>
      </c>
      <c r="D95">
        <v>88</v>
      </c>
      <c r="E95">
        <v>114</v>
      </c>
      <c r="F95">
        <v>4531.4021336919004</v>
      </c>
      <c r="G95" t="s">
        <v>37</v>
      </c>
      <c r="H95">
        <v>63</v>
      </c>
      <c r="I95">
        <v>17</v>
      </c>
      <c r="J95">
        <v>66</v>
      </c>
      <c r="K95">
        <v>1</v>
      </c>
      <c r="L95" t="s">
        <v>42</v>
      </c>
      <c r="M95">
        <v>7.00643205900439</v>
      </c>
      <c r="N95" t="s">
        <v>51</v>
      </c>
      <c r="O95" t="s">
        <v>61</v>
      </c>
      <c r="P95">
        <v>21</v>
      </c>
      <c r="Q95">
        <v>824</v>
      </c>
      <c r="R95">
        <v>20</v>
      </c>
      <c r="S95">
        <v>35.633652343343797</v>
      </c>
      <c r="T95" t="s">
        <v>45</v>
      </c>
      <c r="U95">
        <v>4.1657817954241398</v>
      </c>
      <c r="V95" t="s">
        <v>39</v>
      </c>
      <c r="W95" t="s">
        <v>47</v>
      </c>
      <c r="X95">
        <v>823.52384588815505</v>
      </c>
      <c r="Z95" s="3">
        <f>SupplyData[[#This Row],[Revenue generated]]/SupplyData[[#This Row],[Number of products sold]]</f>
        <v>39.749141523613162</v>
      </c>
      <c r="AA95" s="3">
        <f>SupplyData[[#This Row],[Manufacturing costs]]/SupplyData[[#This Row],[Production volumes]]</f>
        <v>4.3244723717650237E-2</v>
      </c>
      <c r="AB95" s="2">
        <f>SupplyData[[#This Row],[Costs]]/SupplyData[[#This Row],[Revenue generated]]</f>
        <v>0.18173709187385667</v>
      </c>
      <c r="AC95" t="str">
        <f t="shared" si="3"/>
        <v>Low</v>
      </c>
      <c r="AD95" s="3">
        <f t="shared" si="4"/>
        <v>3672.2446354604017</v>
      </c>
      <c r="AE95" s="2">
        <f t="shared" si="5"/>
        <v>0.81039919369691615</v>
      </c>
    </row>
    <row r="96" spans="1:31" x14ac:dyDescent="0.25">
      <c r="A96" t="s">
        <v>56</v>
      </c>
      <c r="B96" t="s">
        <v>147</v>
      </c>
      <c r="C96">
        <v>3.0376887246314102</v>
      </c>
      <c r="D96">
        <v>97</v>
      </c>
      <c r="E96">
        <v>987</v>
      </c>
      <c r="F96">
        <v>7888.3565466618702</v>
      </c>
      <c r="G96" t="s">
        <v>37</v>
      </c>
      <c r="H96">
        <v>77</v>
      </c>
      <c r="I96">
        <v>26</v>
      </c>
      <c r="J96">
        <v>72</v>
      </c>
      <c r="K96">
        <v>9</v>
      </c>
      <c r="L96" t="s">
        <v>26</v>
      </c>
      <c r="M96">
        <v>6.9429459420325799</v>
      </c>
      <c r="N96" t="s">
        <v>60</v>
      </c>
      <c r="O96" t="s">
        <v>49</v>
      </c>
      <c r="P96">
        <v>12</v>
      </c>
      <c r="Q96">
        <v>908</v>
      </c>
      <c r="R96">
        <v>14</v>
      </c>
      <c r="S96">
        <v>60.387378614862101</v>
      </c>
      <c r="T96" t="s">
        <v>63</v>
      </c>
      <c r="U96">
        <v>1.4636074984727701</v>
      </c>
      <c r="V96" t="s">
        <v>46</v>
      </c>
      <c r="W96" t="s">
        <v>31</v>
      </c>
      <c r="X96">
        <v>846.66525698669398</v>
      </c>
      <c r="Z96" s="3">
        <f>SupplyData[[#This Row],[Revenue generated]]/SupplyData[[#This Row],[Number of products sold]]</f>
        <v>7.9922558730110138</v>
      </c>
      <c r="AA96" s="3">
        <f>SupplyData[[#This Row],[Manufacturing costs]]/SupplyData[[#This Row],[Production volumes]]</f>
        <v>6.6505923584649893E-2</v>
      </c>
      <c r="AB96" s="2">
        <f>SupplyData[[#This Row],[Costs]]/SupplyData[[#This Row],[Revenue generated]]</f>
        <v>0.1073310076666069</v>
      </c>
      <c r="AC96" t="str">
        <f t="shared" si="3"/>
        <v>Low</v>
      </c>
      <c r="AD96" s="3">
        <f t="shared" si="4"/>
        <v>6981.303911060314</v>
      </c>
      <c r="AE96" s="2">
        <f t="shared" si="5"/>
        <v>0.88501373762252222</v>
      </c>
    </row>
    <row r="97" spans="1:31" x14ac:dyDescent="0.25">
      <c r="A97" t="s">
        <v>24</v>
      </c>
      <c r="B97" t="s">
        <v>148</v>
      </c>
      <c r="C97">
        <v>77.903927219447695</v>
      </c>
      <c r="D97">
        <v>65</v>
      </c>
      <c r="E97">
        <v>672</v>
      </c>
      <c r="F97">
        <v>7386.3639440486604</v>
      </c>
      <c r="G97" t="s">
        <v>37</v>
      </c>
      <c r="H97">
        <v>15</v>
      </c>
      <c r="I97">
        <v>14</v>
      </c>
      <c r="J97">
        <v>26</v>
      </c>
      <c r="K97">
        <v>9</v>
      </c>
      <c r="L97" t="s">
        <v>26</v>
      </c>
      <c r="M97">
        <v>8.6303388696027508</v>
      </c>
      <c r="N97" t="s">
        <v>51</v>
      </c>
      <c r="O97" t="s">
        <v>28</v>
      </c>
      <c r="P97">
        <v>18</v>
      </c>
      <c r="Q97">
        <v>450</v>
      </c>
      <c r="R97">
        <v>26</v>
      </c>
      <c r="S97">
        <v>58.890685768589897</v>
      </c>
      <c r="T97" t="s">
        <v>29</v>
      </c>
      <c r="U97">
        <v>1.21088212958506</v>
      </c>
      <c r="V97" t="s">
        <v>39</v>
      </c>
      <c r="W97" t="s">
        <v>47</v>
      </c>
      <c r="X97">
        <v>778.86424137664699</v>
      </c>
      <c r="Z97" s="3">
        <f>SupplyData[[#This Row],[Revenue generated]]/SupplyData[[#This Row],[Number of products sold]]</f>
        <v>10.991613011977174</v>
      </c>
      <c r="AA97" s="3">
        <f>SupplyData[[#This Row],[Manufacturing costs]]/SupplyData[[#This Row],[Production volumes]]</f>
        <v>0.13086819059686644</v>
      </c>
      <c r="AB97" s="2">
        <f>SupplyData[[#This Row],[Costs]]/SupplyData[[#This Row],[Revenue generated]]</f>
        <v>0.1054462313631585</v>
      </c>
      <c r="AC97" t="str">
        <f t="shared" si="3"/>
        <v>Medium</v>
      </c>
      <c r="AD97" s="3">
        <f t="shared" si="4"/>
        <v>6548.6090169034233</v>
      </c>
      <c r="AE97" s="2">
        <f t="shared" si="5"/>
        <v>0.88658087612644199</v>
      </c>
    </row>
    <row r="98" spans="1:31" x14ac:dyDescent="0.25">
      <c r="A98" t="s">
        <v>56</v>
      </c>
      <c r="B98" t="s">
        <v>149</v>
      </c>
      <c r="C98">
        <v>24.423131420373299</v>
      </c>
      <c r="D98">
        <v>29</v>
      </c>
      <c r="E98">
        <v>324</v>
      </c>
      <c r="F98">
        <v>7698.4247656321104</v>
      </c>
      <c r="G98" t="s">
        <v>54</v>
      </c>
      <c r="H98">
        <v>67</v>
      </c>
      <c r="I98">
        <v>2</v>
      </c>
      <c r="J98">
        <v>32</v>
      </c>
      <c r="K98">
        <v>3</v>
      </c>
      <c r="L98" t="s">
        <v>42</v>
      </c>
      <c r="M98">
        <v>5.3528780439967996</v>
      </c>
      <c r="N98" t="s">
        <v>27</v>
      </c>
      <c r="O98" t="s">
        <v>28</v>
      </c>
      <c r="P98">
        <v>28</v>
      </c>
      <c r="Q98">
        <v>648</v>
      </c>
      <c r="R98">
        <v>28</v>
      </c>
      <c r="S98">
        <v>17.803756331391199</v>
      </c>
      <c r="T98" t="s">
        <v>29</v>
      </c>
      <c r="U98">
        <v>3.8720476814821301</v>
      </c>
      <c r="V98" t="s">
        <v>30</v>
      </c>
      <c r="W98" t="s">
        <v>47</v>
      </c>
      <c r="X98">
        <v>188.74214114905601</v>
      </c>
      <c r="Z98" s="3">
        <f>SupplyData[[#This Row],[Revenue generated]]/SupplyData[[#This Row],[Number of products sold]]</f>
        <v>23.760570264296636</v>
      </c>
      <c r="AA98" s="3">
        <f>SupplyData[[#This Row],[Manufacturing costs]]/SupplyData[[#This Row],[Production volumes]]</f>
        <v>2.7474932610171605E-2</v>
      </c>
      <c r="AB98" s="2">
        <f>SupplyData[[#This Row],[Costs]]/SupplyData[[#This Row],[Revenue generated]]</f>
        <v>2.4516981966447596E-2</v>
      </c>
      <c r="AC98" t="str">
        <f t="shared" si="3"/>
        <v>Low</v>
      </c>
      <c r="AD98" s="3">
        <f t="shared" si="4"/>
        <v>7491.8788681516635</v>
      </c>
      <c r="AE98" s="2">
        <f t="shared" si="5"/>
        <v>0.97317036877433361</v>
      </c>
    </row>
    <row r="99" spans="1:31" x14ac:dyDescent="0.25">
      <c r="A99" t="s">
        <v>24</v>
      </c>
      <c r="B99" t="s">
        <v>150</v>
      </c>
      <c r="C99">
        <v>3.5261112591434101</v>
      </c>
      <c r="D99">
        <v>56</v>
      </c>
      <c r="E99">
        <v>62</v>
      </c>
      <c r="F99">
        <v>4370.9165799845296</v>
      </c>
      <c r="G99" t="s">
        <v>54</v>
      </c>
      <c r="H99">
        <v>46</v>
      </c>
      <c r="I99">
        <v>19</v>
      </c>
      <c r="J99">
        <v>4</v>
      </c>
      <c r="K99">
        <v>9</v>
      </c>
      <c r="L99" t="s">
        <v>35</v>
      </c>
      <c r="M99">
        <v>7.9048456112096703</v>
      </c>
      <c r="N99" t="s">
        <v>51</v>
      </c>
      <c r="O99" t="s">
        <v>28</v>
      </c>
      <c r="P99">
        <v>10</v>
      </c>
      <c r="Q99">
        <v>535</v>
      </c>
      <c r="R99">
        <v>13</v>
      </c>
      <c r="S99">
        <v>65.765155926367399</v>
      </c>
      <c r="T99" t="s">
        <v>45</v>
      </c>
      <c r="U99">
        <v>3.3762378347179798</v>
      </c>
      <c r="V99" t="s">
        <v>30</v>
      </c>
      <c r="W99" t="s">
        <v>47</v>
      </c>
      <c r="X99">
        <v>540.13242286796697</v>
      </c>
      <c r="Z99" s="3">
        <f>SupplyData[[#This Row],[Revenue generated]]/SupplyData[[#This Row],[Number of products sold]]</f>
        <v>70.498654515879508</v>
      </c>
      <c r="AA99" s="3">
        <f>SupplyData[[#This Row],[Manufacturing costs]]/SupplyData[[#This Row],[Production volumes]]</f>
        <v>0.12292552509601383</v>
      </c>
      <c r="AB99" s="2">
        <f>SupplyData[[#This Row],[Costs]]/SupplyData[[#This Row],[Revenue generated]]</f>
        <v>0.12357417786039712</v>
      </c>
      <c r="AC99" t="str">
        <f t="shared" si="3"/>
        <v>Medium</v>
      </c>
      <c r="AD99" s="3">
        <f t="shared" si="4"/>
        <v>3765.019001190195</v>
      </c>
      <c r="AE99" s="2">
        <f t="shared" si="5"/>
        <v>0.86137974319416566</v>
      </c>
    </row>
    <row r="100" spans="1:31" x14ac:dyDescent="0.25">
      <c r="A100" t="s">
        <v>32</v>
      </c>
      <c r="B100" t="s">
        <v>151</v>
      </c>
      <c r="C100">
        <v>19.754604866878601</v>
      </c>
      <c r="D100">
        <v>43</v>
      </c>
      <c r="E100">
        <v>913</v>
      </c>
      <c r="F100">
        <v>8525.9525596835192</v>
      </c>
      <c r="G100" t="s">
        <v>34</v>
      </c>
      <c r="H100">
        <v>53</v>
      </c>
      <c r="I100">
        <v>1</v>
      </c>
      <c r="J100">
        <v>27</v>
      </c>
      <c r="K100">
        <v>7</v>
      </c>
      <c r="L100" t="s">
        <v>26</v>
      </c>
      <c r="M100">
        <v>1.4098010951380699</v>
      </c>
      <c r="N100" t="s">
        <v>43</v>
      </c>
      <c r="O100" t="s">
        <v>61</v>
      </c>
      <c r="P100">
        <v>28</v>
      </c>
      <c r="Q100">
        <v>581</v>
      </c>
      <c r="R100">
        <v>9</v>
      </c>
      <c r="S100">
        <v>5.6046908643717801</v>
      </c>
      <c r="T100" t="s">
        <v>29</v>
      </c>
      <c r="U100">
        <v>2.9081221693512598</v>
      </c>
      <c r="V100" t="s">
        <v>46</v>
      </c>
      <c r="W100" t="s">
        <v>47</v>
      </c>
      <c r="X100">
        <v>882.19886354704101</v>
      </c>
      <c r="Z100" s="3">
        <f>SupplyData[[#This Row],[Revenue generated]]/SupplyData[[#This Row],[Number of products sold]]</f>
        <v>9.3383927269260898</v>
      </c>
      <c r="AA100" s="3">
        <f>SupplyData[[#This Row],[Manufacturing costs]]/SupplyData[[#This Row],[Production volumes]]</f>
        <v>9.6466279937552149E-3</v>
      </c>
      <c r="AB100" s="2">
        <f>SupplyData[[#This Row],[Costs]]/SupplyData[[#This Row],[Revenue generated]]</f>
        <v>0.10347217596760684</v>
      </c>
      <c r="AC100" t="str">
        <f t="shared" si="3"/>
        <v>Medium</v>
      </c>
      <c r="AD100" s="3">
        <f t="shared" si="4"/>
        <v>7638.1490052721074</v>
      </c>
      <c r="AE100" s="2">
        <f t="shared" si="5"/>
        <v>0.89587045574126833</v>
      </c>
    </row>
    <row r="101" spans="1:31" x14ac:dyDescent="0.25">
      <c r="A101" t="s">
        <v>24</v>
      </c>
      <c r="B101" t="s">
        <v>152</v>
      </c>
      <c r="C101">
        <v>68.517832699276596</v>
      </c>
      <c r="D101">
        <v>17</v>
      </c>
      <c r="E101">
        <v>627</v>
      </c>
      <c r="F101">
        <v>9185.1858291817007</v>
      </c>
      <c r="G101" t="s">
        <v>37</v>
      </c>
      <c r="H101">
        <v>55</v>
      </c>
      <c r="I101">
        <v>8</v>
      </c>
      <c r="J101">
        <v>59</v>
      </c>
      <c r="K101">
        <v>6</v>
      </c>
      <c r="L101" t="s">
        <v>26</v>
      </c>
      <c r="M101">
        <v>1.3110237561206199</v>
      </c>
      <c r="N101" t="s">
        <v>60</v>
      </c>
      <c r="O101" t="s">
        <v>61</v>
      </c>
      <c r="P101">
        <v>29</v>
      </c>
      <c r="Q101">
        <v>921</v>
      </c>
      <c r="R101">
        <v>2</v>
      </c>
      <c r="S101">
        <v>38.072898520625998</v>
      </c>
      <c r="T101" t="s">
        <v>45</v>
      </c>
      <c r="U101">
        <v>0.34602729070550298</v>
      </c>
      <c r="V101" t="s">
        <v>46</v>
      </c>
      <c r="W101" t="s">
        <v>31</v>
      </c>
      <c r="X101">
        <v>210.743008964246</v>
      </c>
      <c r="Z101" s="3">
        <f>SupplyData[[#This Row],[Revenue generated]]/SupplyData[[#This Row],[Number of products sold]]</f>
        <v>14.649419185297768</v>
      </c>
      <c r="AA101" s="3">
        <f>SupplyData[[#This Row],[Manufacturing costs]]/SupplyData[[#This Row],[Production volumes]]</f>
        <v>4.1338652031081433E-2</v>
      </c>
      <c r="AB101" s="2">
        <f>SupplyData[[#This Row],[Costs]]/SupplyData[[#This Row],[Revenue generated]]</f>
        <v>2.2943793722137562E-2</v>
      </c>
      <c r="AC101" t="str">
        <f t="shared" si="3"/>
        <v>Medium</v>
      </c>
      <c r="AD101" s="3">
        <f t="shared" si="4"/>
        <v>8936.3699216968289</v>
      </c>
      <c r="AE101" s="2">
        <f t="shared" si="5"/>
        <v>0.9729111732618001</v>
      </c>
    </row>
  </sheetData>
  <conditionalFormatting sqref="AC2:AC101">
    <cfRule type="containsText" dxfId="2" priority="2" operator="containsText" text="Low">
      <formula>NOT(ISERROR(SEARCH("Low",AC2)))</formula>
    </cfRule>
    <cfRule type="containsText" dxfId="1" priority="3" operator="containsText" text="Medium">
      <formula>NOT(ISERROR(SEARCH("Medium",AC2)))</formula>
    </cfRule>
    <cfRule type="containsText" dxfId="0" priority="4" operator="containsText" text="High">
      <formula>NOT(ISERROR(SEARCH("High",AC2)))</formula>
    </cfRule>
  </conditionalFormatting>
  <conditionalFormatting sqref="AE2:AE101">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1524-E647-473E-97F9-8BB877B84146}">
  <dimension ref="A1:M104"/>
  <sheetViews>
    <sheetView topLeftCell="A87" workbookViewId="0">
      <selection activeCell="C100" sqref="C100"/>
    </sheetView>
  </sheetViews>
  <sheetFormatPr defaultRowHeight="15" x14ac:dyDescent="0.25"/>
  <cols>
    <col min="1" max="1" width="13.42578125" bestFit="1" customWidth="1"/>
    <col min="2" max="2" width="29" bestFit="1" customWidth="1"/>
    <col min="3" max="3" width="30.7109375" bestFit="1" customWidth="1"/>
    <col min="4" max="5" width="13.42578125" bestFit="1" customWidth="1"/>
    <col min="6" max="6" width="25.85546875" bestFit="1" customWidth="1"/>
    <col min="7" max="7" width="21" bestFit="1" customWidth="1"/>
    <col min="10" max="10" width="13.42578125" bestFit="1" customWidth="1"/>
    <col min="11" max="11" width="25.85546875" bestFit="1" customWidth="1"/>
    <col min="12" max="12" width="13.42578125" bestFit="1" customWidth="1"/>
    <col min="13" max="13" width="25.85546875" bestFit="1" customWidth="1"/>
  </cols>
  <sheetData>
    <row r="1" spans="1:3" ht="18.75" x14ac:dyDescent="0.3">
      <c r="A1" s="11" t="s">
        <v>175</v>
      </c>
      <c r="B1" s="10"/>
      <c r="C1" s="10"/>
    </row>
    <row r="3" spans="1:3" x14ac:dyDescent="0.25">
      <c r="A3" s="4" t="s">
        <v>163</v>
      </c>
      <c r="B3" t="s">
        <v>165</v>
      </c>
      <c r="C3" t="s">
        <v>166</v>
      </c>
    </row>
    <row r="4" spans="1:3" x14ac:dyDescent="0.25">
      <c r="A4" s="5" t="s">
        <v>32</v>
      </c>
      <c r="B4">
        <v>241628.16213306302</v>
      </c>
      <c r="C4">
        <v>20731</v>
      </c>
    </row>
    <row r="5" spans="1:3" x14ac:dyDescent="0.25">
      <c r="A5" s="5" t="s">
        <v>24</v>
      </c>
      <c r="B5">
        <v>174455.39060546222</v>
      </c>
      <c r="C5">
        <v>13611</v>
      </c>
    </row>
    <row r="6" spans="1:3" x14ac:dyDescent="0.25">
      <c r="A6" s="5" t="s">
        <v>56</v>
      </c>
      <c r="B6">
        <v>161521.26599948306</v>
      </c>
      <c r="C6">
        <v>11757</v>
      </c>
    </row>
    <row r="7" spans="1:3" x14ac:dyDescent="0.25">
      <c r="A7" s="5" t="s">
        <v>164</v>
      </c>
      <c r="B7">
        <v>577604.81873800838</v>
      </c>
      <c r="C7">
        <v>46099</v>
      </c>
    </row>
    <row r="25" spans="1:13" x14ac:dyDescent="0.25">
      <c r="F25" s="4" t="s">
        <v>163</v>
      </c>
      <c r="G25" t="s">
        <v>168</v>
      </c>
      <c r="L25" s="4" t="s">
        <v>163</v>
      </c>
      <c r="M25" t="s">
        <v>165</v>
      </c>
    </row>
    <row r="26" spans="1:13" x14ac:dyDescent="0.25">
      <c r="A26" s="4" t="s">
        <v>163</v>
      </c>
      <c r="B26" t="s">
        <v>167</v>
      </c>
      <c r="F26" s="5" t="s">
        <v>51</v>
      </c>
      <c r="G26">
        <v>17</v>
      </c>
      <c r="L26" s="5" t="s">
        <v>38</v>
      </c>
      <c r="M26">
        <v>157528.99503945635</v>
      </c>
    </row>
    <row r="27" spans="1:13" x14ac:dyDescent="0.25">
      <c r="A27" s="5" t="s">
        <v>43</v>
      </c>
      <c r="B27">
        <v>2.6654083441491982</v>
      </c>
      <c r="F27" s="5" t="s">
        <v>38</v>
      </c>
      <c r="G27">
        <v>16.777777777777779</v>
      </c>
      <c r="L27" s="5" t="s">
        <v>60</v>
      </c>
      <c r="M27">
        <v>125467.41860530026</v>
      </c>
    </row>
    <row r="28" spans="1:13" x14ac:dyDescent="0.25">
      <c r="A28" s="5" t="s">
        <v>27</v>
      </c>
      <c r="B28">
        <v>2.4657860307644657</v>
      </c>
      <c r="F28" s="5" t="s">
        <v>60</v>
      </c>
      <c r="G28">
        <v>16.227272727272727</v>
      </c>
      <c r="L28" s="5" t="s">
        <v>43</v>
      </c>
      <c r="M28">
        <v>110343.46365628684</v>
      </c>
    </row>
    <row r="29" spans="1:13" x14ac:dyDescent="0.25">
      <c r="A29" s="5" t="s">
        <v>60</v>
      </c>
      <c r="B29">
        <v>2.3627501450718764</v>
      </c>
      <c r="F29" s="5" t="s">
        <v>43</v>
      </c>
      <c r="G29">
        <v>14.722222222222221</v>
      </c>
      <c r="L29" s="5" t="s">
        <v>27</v>
      </c>
      <c r="M29">
        <v>97795.979638162171</v>
      </c>
    </row>
    <row r="30" spans="1:13" x14ac:dyDescent="0.25">
      <c r="A30" s="5" t="s">
        <v>51</v>
      </c>
      <c r="B30">
        <v>2.3373974005913354</v>
      </c>
      <c r="F30" s="5" t="s">
        <v>27</v>
      </c>
      <c r="G30">
        <v>14.333333333333334</v>
      </c>
      <c r="L30" s="5" t="s">
        <v>51</v>
      </c>
      <c r="M30">
        <v>86468.961798802658</v>
      </c>
    </row>
    <row r="31" spans="1:13" x14ac:dyDescent="0.25">
      <c r="A31" s="5" t="s">
        <v>38</v>
      </c>
      <c r="B31">
        <v>1.8036297116882485</v>
      </c>
      <c r="F31" s="5" t="s">
        <v>164</v>
      </c>
      <c r="G31">
        <v>15.96</v>
      </c>
      <c r="L31" s="5" t="s">
        <v>164</v>
      </c>
      <c r="M31">
        <v>577604.81873800827</v>
      </c>
    </row>
    <row r="32" spans="1:13" x14ac:dyDescent="0.25">
      <c r="A32" s="5" t="s">
        <v>164</v>
      </c>
      <c r="B32">
        <v>2.2771579927396055</v>
      </c>
    </row>
    <row r="50" spans="1:6" x14ac:dyDescent="0.25">
      <c r="A50" s="4" t="s">
        <v>163</v>
      </c>
      <c r="B50" t="s">
        <v>169</v>
      </c>
      <c r="C50" t="s">
        <v>170</v>
      </c>
      <c r="E50" s="4" t="s">
        <v>163</v>
      </c>
      <c r="F50" t="s">
        <v>165</v>
      </c>
    </row>
    <row r="51" spans="1:6" x14ac:dyDescent="0.25">
      <c r="A51" s="5" t="s">
        <v>30</v>
      </c>
      <c r="B51">
        <v>5.542115390045792</v>
      </c>
      <c r="C51">
        <v>18.03448275862069</v>
      </c>
      <c r="E51" s="5" t="s">
        <v>46</v>
      </c>
      <c r="F51">
        <v>164990.41766733321</v>
      </c>
    </row>
    <row r="52" spans="1:6" x14ac:dyDescent="0.25">
      <c r="A52" s="5" t="s">
        <v>46</v>
      </c>
      <c r="B52">
        <v>5.4690979361028562</v>
      </c>
      <c r="C52">
        <v>17.535714285714285</v>
      </c>
      <c r="E52" s="5" t="s">
        <v>30</v>
      </c>
      <c r="F52">
        <v>159315.23223904282</v>
      </c>
    </row>
    <row r="53" spans="1:6" x14ac:dyDescent="0.25">
      <c r="A53" s="5" t="s">
        <v>55</v>
      </c>
      <c r="B53">
        <v>4.9702938152238989</v>
      </c>
      <c r="C53">
        <v>16.411764705882351</v>
      </c>
      <c r="E53" s="5" t="s">
        <v>39</v>
      </c>
      <c r="F53">
        <v>155735.34965026696</v>
      </c>
    </row>
    <row r="54" spans="1:6" x14ac:dyDescent="0.25">
      <c r="A54" s="5" t="s">
        <v>39</v>
      </c>
      <c r="B54">
        <v>6.0178393777286159</v>
      </c>
      <c r="C54">
        <v>15.961538461538462</v>
      </c>
      <c r="E54" s="5" t="s">
        <v>55</v>
      </c>
      <c r="F54">
        <v>97563.819181365223</v>
      </c>
    </row>
    <row r="55" spans="1:6" x14ac:dyDescent="0.25">
      <c r="A55" s="5" t="s">
        <v>164</v>
      </c>
      <c r="B55">
        <v>5.548149072019581</v>
      </c>
      <c r="C55">
        <v>17.079999999999998</v>
      </c>
      <c r="E55" s="5" t="s">
        <v>164</v>
      </c>
      <c r="F55">
        <v>577604.81873800827</v>
      </c>
    </row>
    <row r="75" spans="1:6" x14ac:dyDescent="0.25">
      <c r="A75" s="4" t="s">
        <v>163</v>
      </c>
      <c r="B75" t="s">
        <v>174</v>
      </c>
      <c r="E75" s="4" t="s">
        <v>163</v>
      </c>
      <c r="F75" t="s">
        <v>185</v>
      </c>
    </row>
    <row r="76" spans="1:6" x14ac:dyDescent="0.25">
      <c r="A76" s="5" t="s">
        <v>173</v>
      </c>
      <c r="B76">
        <v>49</v>
      </c>
      <c r="E76" s="5" t="s">
        <v>171</v>
      </c>
      <c r="F76">
        <v>6262.6820498737234</v>
      </c>
    </row>
    <row r="77" spans="1:6" x14ac:dyDescent="0.25">
      <c r="A77" s="5" t="s">
        <v>172</v>
      </c>
      <c r="B77">
        <v>37</v>
      </c>
      <c r="E77" s="5" t="s">
        <v>173</v>
      </c>
      <c r="F77">
        <v>5924.0350681647633</v>
      </c>
    </row>
    <row r="78" spans="1:6" x14ac:dyDescent="0.25">
      <c r="A78" s="5" t="s">
        <v>171</v>
      </c>
      <c r="B78">
        <v>14</v>
      </c>
      <c r="E78" s="5" t="s">
        <v>172</v>
      </c>
      <c r="F78">
        <v>5395.9338297216927</v>
      </c>
    </row>
    <row r="79" spans="1:6" x14ac:dyDescent="0.25">
      <c r="A79" s="5" t="s">
        <v>164</v>
      </c>
      <c r="B79">
        <v>100</v>
      </c>
      <c r="E79" s="5" t="s">
        <v>164</v>
      </c>
      <c r="F79">
        <v>5776.0481873800818</v>
      </c>
    </row>
    <row r="100" spans="1:3" x14ac:dyDescent="0.25">
      <c r="A100" s="4" t="s">
        <v>163</v>
      </c>
      <c r="B100" t="s">
        <v>185</v>
      </c>
      <c r="C100" t="s">
        <v>166</v>
      </c>
    </row>
    <row r="101" spans="1:3" x14ac:dyDescent="0.25">
      <c r="A101" s="5" t="s">
        <v>34</v>
      </c>
      <c r="B101">
        <v>6019.7896324828989</v>
      </c>
      <c r="C101">
        <v>18571</v>
      </c>
    </row>
    <row r="102" spans="1:3" x14ac:dyDescent="0.25">
      <c r="A102" s="5" t="s">
        <v>54</v>
      </c>
      <c r="B102">
        <v>5680.7021405989499</v>
      </c>
      <c r="C102">
        <v>12317</v>
      </c>
    </row>
    <row r="103" spans="1:3" x14ac:dyDescent="0.25">
      <c r="A103" s="5" t="s">
        <v>37</v>
      </c>
      <c r="B103">
        <v>5583.5527044185346</v>
      </c>
      <c r="C103">
        <v>15211</v>
      </c>
    </row>
    <row r="104" spans="1:3" x14ac:dyDescent="0.25">
      <c r="A104" s="5" t="s">
        <v>164</v>
      </c>
      <c r="B104">
        <v>5776.04818738008</v>
      </c>
      <c r="C104">
        <v>46099</v>
      </c>
    </row>
  </sheetData>
  <mergeCells count="1">
    <mergeCell ref="A1:C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79CA-63A8-4512-80B2-1E2086AD8721}">
  <dimension ref="A1:W62"/>
  <sheetViews>
    <sheetView tabSelected="1" workbookViewId="0">
      <selection activeCell="A48" sqref="A48:D48"/>
    </sheetView>
  </sheetViews>
  <sheetFormatPr defaultRowHeight="15" x14ac:dyDescent="0.25"/>
  <cols>
    <col min="1" max="2" width="13.28515625" bestFit="1" customWidth="1"/>
    <col min="3" max="3" width="17.42578125" bestFit="1" customWidth="1"/>
    <col min="4" max="4" width="20.5703125" bestFit="1" customWidth="1"/>
    <col min="5" max="5" width="18.28515625" bestFit="1" customWidth="1"/>
    <col min="6" max="6" width="19.85546875" bestFit="1" customWidth="1"/>
  </cols>
  <sheetData>
    <row r="1" spans="1:6" ht="18.75" x14ac:dyDescent="0.3">
      <c r="A1" s="11" t="s">
        <v>180</v>
      </c>
      <c r="B1" s="11"/>
      <c r="C1" s="11"/>
      <c r="D1" s="11"/>
      <c r="E1" s="11"/>
      <c r="F1" s="11"/>
    </row>
    <row r="3" spans="1:6" x14ac:dyDescent="0.25">
      <c r="A3" t="s">
        <v>153</v>
      </c>
      <c r="B3" t="s">
        <v>176</v>
      </c>
      <c r="C3" t="s">
        <v>154</v>
      </c>
      <c r="D3" t="s">
        <v>155</v>
      </c>
      <c r="E3" t="s">
        <v>156</v>
      </c>
      <c r="F3" t="s">
        <v>177</v>
      </c>
    </row>
    <row r="4" spans="1:6" x14ac:dyDescent="0.25">
      <c r="A4" s="3">
        <f>SUM(SupplyData!F:F)</f>
        <v>577604.81873800792</v>
      </c>
      <c r="B4">
        <f>SUM(SupplyData!E:E)</f>
        <v>46099</v>
      </c>
      <c r="C4">
        <f>AVERAGE(SupplyData!I:I)</f>
        <v>15.96</v>
      </c>
      <c r="D4" s="3">
        <f>AVERAGE(SupplyData!K:K)</f>
        <v>5.75</v>
      </c>
      <c r="E4" s="1">
        <f>AVERAGE(SupplyData!U:U)</f>
        <v>2.2771579927396073</v>
      </c>
      <c r="F4" s="2">
        <f>AVERAGE(SupplyData!AE:AE)</f>
        <v>0.86206078799418007</v>
      </c>
    </row>
    <row r="10" spans="1:6" ht="21" x14ac:dyDescent="0.35">
      <c r="B10" s="6"/>
      <c r="C10" s="6"/>
      <c r="D10" s="6"/>
      <c r="E10" s="6"/>
    </row>
    <row r="12" spans="1:6" ht="21" x14ac:dyDescent="0.35">
      <c r="B12" s="6"/>
      <c r="C12" s="6"/>
      <c r="D12" s="6"/>
      <c r="E12" s="6"/>
      <c r="F12" s="6"/>
    </row>
    <row r="14" spans="1:6" ht="21" x14ac:dyDescent="0.35">
      <c r="B14" s="6"/>
      <c r="C14" s="6"/>
      <c r="D14" s="6"/>
    </row>
    <row r="16" spans="1:6" ht="21" x14ac:dyDescent="0.35">
      <c r="B16" s="6"/>
      <c r="C16" s="6"/>
      <c r="D16" s="6"/>
      <c r="E16" s="6"/>
    </row>
    <row r="26" spans="1:23" ht="15" customHeight="1" x14ac:dyDescent="0.3">
      <c r="B26" s="7"/>
      <c r="C26" s="7"/>
      <c r="D26" s="7"/>
      <c r="E26" s="7"/>
      <c r="F26" s="7"/>
      <c r="G26" s="7"/>
      <c r="H26" s="7"/>
      <c r="I26" s="7"/>
      <c r="J26" s="7"/>
      <c r="K26" s="7"/>
      <c r="L26" s="7"/>
      <c r="M26" s="7"/>
      <c r="N26" s="7"/>
      <c r="O26" s="7"/>
      <c r="P26" s="7"/>
      <c r="Q26" s="7"/>
      <c r="R26" s="7"/>
      <c r="S26" s="7"/>
      <c r="T26" s="7"/>
      <c r="U26" s="7"/>
      <c r="V26" s="7"/>
      <c r="W26" s="7"/>
    </row>
    <row r="27" spans="1:23" ht="15" customHeight="1" x14ac:dyDescent="0.35">
      <c r="A27" s="6"/>
      <c r="B27" s="6"/>
      <c r="C27" s="6"/>
      <c r="D27" s="6"/>
      <c r="E27" s="6"/>
      <c r="F27" s="6"/>
      <c r="G27" s="6"/>
      <c r="H27" s="6"/>
      <c r="I27" s="6"/>
      <c r="J27" s="6"/>
      <c r="K27" s="6"/>
      <c r="L27" s="6"/>
      <c r="M27" s="6"/>
      <c r="N27" s="6"/>
      <c r="O27" s="6"/>
    </row>
    <row r="28" spans="1:23" ht="15" customHeight="1" x14ac:dyDescent="0.35">
      <c r="B28" s="8"/>
      <c r="C28" s="8"/>
      <c r="D28" s="8"/>
      <c r="E28" s="8"/>
      <c r="F28" s="8"/>
      <c r="G28" s="8"/>
      <c r="H28" s="8"/>
      <c r="I28" s="6"/>
      <c r="J28" s="6"/>
      <c r="K28" s="6"/>
      <c r="L28" s="6"/>
      <c r="M28" s="6"/>
      <c r="N28" s="6"/>
      <c r="O28" s="6"/>
    </row>
    <row r="29" spans="1:23" ht="15" customHeight="1" x14ac:dyDescent="0.35">
      <c r="A29" s="6"/>
      <c r="B29" s="6"/>
      <c r="C29" s="6"/>
      <c r="D29" s="6"/>
      <c r="E29" s="6"/>
      <c r="F29" s="6"/>
      <c r="G29" s="6"/>
      <c r="H29" s="6"/>
      <c r="I29" s="6"/>
      <c r="J29" s="6"/>
      <c r="K29" s="6"/>
      <c r="L29" s="6"/>
      <c r="M29" s="6"/>
      <c r="N29" s="6"/>
      <c r="O29" s="6"/>
    </row>
    <row r="48" spans="1:4" ht="21" x14ac:dyDescent="0.35">
      <c r="A48" s="9" t="s">
        <v>187</v>
      </c>
      <c r="B48" s="10"/>
      <c r="C48" s="10"/>
      <c r="D48" s="10"/>
    </row>
    <row r="50" spans="1:1" ht="21" x14ac:dyDescent="0.35">
      <c r="A50" s="6" t="s">
        <v>184</v>
      </c>
    </row>
    <row r="52" spans="1:1" ht="21" x14ac:dyDescent="0.35">
      <c r="A52" s="6" t="s">
        <v>178</v>
      </c>
    </row>
    <row r="54" spans="1:1" ht="21" x14ac:dyDescent="0.35">
      <c r="A54" s="6" t="s">
        <v>186</v>
      </c>
    </row>
    <row r="56" spans="1:1" ht="21" x14ac:dyDescent="0.35">
      <c r="A56" s="6" t="s">
        <v>179</v>
      </c>
    </row>
    <row r="58" spans="1:1" ht="18.75" x14ac:dyDescent="0.3">
      <c r="A58" s="7" t="s">
        <v>181</v>
      </c>
    </row>
    <row r="60" spans="1:1" ht="19.5" x14ac:dyDescent="0.3">
      <c r="A60" s="8" t="s">
        <v>182</v>
      </c>
    </row>
    <row r="62" spans="1:1" x14ac:dyDescent="0.25">
      <c r="A62" t="s">
        <v>183</v>
      </c>
    </row>
  </sheetData>
  <mergeCells count="2">
    <mergeCell ref="A48:D48"/>
    <mergeCell ref="A1:F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SupplyData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Randy McMan</cp:lastModifiedBy>
  <dcterms:created xsi:type="dcterms:W3CDTF">2026-07-02T15:38:40Z</dcterms:created>
  <dcterms:modified xsi:type="dcterms:W3CDTF">2026-07-02T19:36:26Z</dcterms:modified>
</cp:coreProperties>
</file>